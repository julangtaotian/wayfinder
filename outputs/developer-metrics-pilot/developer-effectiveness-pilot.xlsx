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2d845e8ae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看板" sheetId="1" r:id="R6da1a425c3e64a77"/>
    <x:sheet xmlns:r="http://schemas.openxmlformats.org/officeDocument/2006/relationships" name="项目样本" sheetId="2" r:id="R1ae18ef748ae496b"/>
    <x:sheet xmlns:r="http://schemas.openxmlformats.org/officeDocument/2006/relationships" name="任务记录" sheetId="3" r:id="R1e18eb824d8d4970"/>
    <x:sheet xmlns:r="http://schemas.openxmlformats.org/officeDocument/2006/relationships" name="指标定义" sheetId="4" r:id="R9a28c081f6a54cde"/>
    <x:sheet xmlns:r="http://schemas.openxmlformats.org/officeDocument/2006/relationships" name="合成评估" sheetId="5" r:id="Rf26032e3b2d0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yyyy-mm-dd"/>
    <x:numFmt numFmtId="202" formatCode="yyyy-mm-dd hh:mm"/>
    <x:numFmt numFmtId="203" formatCode="0.0"/>
    <x:numFmt numFmtId="204" formatCode="0.0%"/>
    <x:numFmt numFmtId="205" formatCode="0%"/>
    <x:numFmt numFmtId="206" formatCode="0.00"/>
  </x:numFmts>
  <x:fonts count="15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sz val="11"/>
      <x:color rgb="FF1F2937"/>
      <x:name val="Carlito"/>
    </x:font>
    <x:font>
      <x:b/>
      <x:sz val="11"/>
      <x:color rgb="FF17324D"/>
      <x:name val="Carlito"/>
    </x:font>
    <x:font>
      <x:b/>
      <x:sz val="16"/>
      <x:color rgb="FF1F7A8C"/>
      <x:name val="Carlito"/>
    </x:font>
    <x:font>
      <x:b/>
      <x:sz val="11"/>
      <x:color rgb="FF92400E"/>
      <x:name val="Carlito"/>
    </x:font>
    <x:font>
      <x:sz val="10"/>
      <x:color rgb="FF243B53"/>
      <x:name val="Arial"/>
    </x:font>
    <x:font>
      <x:b/>
      <x:sz val="18"/>
      <x:color rgb="FFFFFFFF"/>
      <x:name val="Arial"/>
    </x:font>
    <x:font>
      <x:sz val="10"/>
      <x:color rgb="FF526D82"/>
      <x:name val="Arial"/>
    </x:font>
    <x:font>
      <x:b/>
      <x:sz val="10"/>
      <x:color rgb="FFFFFFFF"/>
      <x:name val="Arial"/>
    </x:font>
    <x:font>
      <x:b/>
      <x:sz val="11"/>
      <x:color rgb="FF9C5700"/>
      <x:name val="Arial"/>
    </x:font>
    <x:font>
      <x:sz val="10"/>
      <x:color rgb="FF375623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1F7A8C"/>
      </x:patternFill>
    </x:fill>
    <x:fill>
      <x:patternFill patternType="solid">
        <x:fgColor rgb="FFFFF4DB"/>
      </x:patternFill>
    </x:fill>
    <x:fill>
      <x:patternFill patternType="solid">
        <x:fgColor rgb="FFE8F3F5"/>
      </x:patternFill>
    </x:fill>
    <x:fill>
      <x:patternFill patternType="solid">
        <x:fgColor rgb="FFFFFFFF"/>
      </x:patternFill>
    </x:fill>
    <x:fill>
      <x:patternFill patternType="solid">
        <x:fgColor rgb="FF173653"/>
      </x:patternFill>
    </x:fill>
    <x:fill>
      <x:patternFill patternType="solid">
        <x:fgColor rgb="FFEAF1F7"/>
      </x:patternFill>
    </x:fill>
    <x:fill>
      <x:patternFill patternType="solid">
        <x:fgColor rgb="FF278497"/>
      </x:patternFill>
    </x:fill>
    <x:fill>
      <x:patternFill patternType="solid">
        <x:fgColor rgb="FFFFF2CC"/>
      </x:patternFill>
    </x:fill>
    <x:fill>
      <x:patternFill patternType="solid">
        <x:fgColor rgb="FFF4F8FB"/>
      </x:patternFill>
    </x:fill>
    <x:fill>
      <x:patternFill patternType="solid">
        <x:fgColor rgb="FFE2F0D9"/>
      </x:patternFill>
    </x:fill>
  </x:fills>
  <x:borders count="18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7E3ED"/>
      </x:left>
      <x:right style="thin">
        <x:color rgb="FFD7E3ED"/>
      </x:right>
      <x:top style="thin">
        <x:color rgb="FFD7E3ED"/>
      </x:top>
      <x:bottom style="thin">
        <x:color rgb="FFD7E3ED"/>
      </x:bottom>
    </x:border>
    <x:border>
      <x:left style="thin">
        <x:color rgb="FFB8CAD8"/>
      </x:left>
      <x:right style="thin">
        <x:color rgb="FFB8CAD8"/>
      </x:right>
      <x:top style="thin">
        <x:color rgb="FFB8CAD8"/>
      </x:top>
      <x:bottom style="thin">
        <x:color rgb="FFB8CAD8"/>
      </x:bottom>
    </x:border>
    <x:border>
      <x:left style="thin">
        <x:color rgb="FFE6B800"/>
      </x:left>
      <x:right style="thin">
        <x:color rgb="FFD7E3ED"/>
      </x:right>
      <x:top style="thin">
        <x:color rgb="FFE6B800"/>
      </x:top>
      <x:bottom style="thin">
        <x:color rgb="FFD7E3ED"/>
      </x:bottom>
    </x:border>
    <x:border>
      <x:left style="thin">
        <x:color rgb="FFD7E3ED"/>
      </x:left>
      <x:right style="thin">
        <x:color rgb="FFD7E3ED"/>
      </x:right>
      <x:top style="thin">
        <x:color rgb="FFE6B800"/>
      </x:top>
      <x:bottom style="thin">
        <x:color rgb="FFD7E3ED"/>
      </x:bottom>
    </x:border>
    <x:border>
      <x:left style="thin">
        <x:color rgb="FFD7E3ED"/>
      </x:left>
      <x:right style="thin">
        <x:color rgb="FFE6B800"/>
      </x:right>
      <x:top style="thin">
        <x:color rgb="FFE6B800"/>
      </x:top>
      <x:bottom style="thin">
        <x:color rgb="FFD7E3ED"/>
      </x:bottom>
    </x:border>
    <x:border>
      <x:left style="thin">
        <x:color rgb="FFE6B800"/>
      </x:left>
      <x:right style="thin">
        <x:color rgb="FFD7E3ED"/>
      </x:right>
      <x:top style="thin">
        <x:color rgb="FFD7E3ED"/>
      </x:top>
      <x:bottom style="thin">
        <x:color rgb="FFE6B800"/>
      </x:bottom>
    </x:border>
    <x:border>
      <x:left style="thin">
        <x:color rgb="FFD7E3ED"/>
      </x:left>
      <x:right style="thin">
        <x:color rgb="FFD7E3ED"/>
      </x:right>
      <x:top style="thin">
        <x:color rgb="FFD7E3ED"/>
      </x:top>
      <x:bottom style="thin">
        <x:color rgb="FFE6B800"/>
      </x:bottom>
    </x:border>
    <x:border>
      <x:left style="thin">
        <x:color rgb="FFD7E3ED"/>
      </x:left>
      <x:right style="thin">
        <x:color rgb="FFE6B800"/>
      </x:right>
      <x:top style="thin">
        <x:color rgb="FFD7E3ED"/>
      </x:top>
      <x:bottom style="thin">
        <x:color rgb="FFE6B800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/>
    <x:xf numFmtId="0" fontId="5" fillId="3" borderId="5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200" fontId="5" fillId="5" borderId="7" xfId="0" applyNumberFormat="1" applyFont="1" applyFill="1" applyBorder="1"/>
    <x:xf numFmtId="200" fontId="5" fillId="5" borderId="9" xfId="0" applyNumberFormat="1" applyFont="1" applyFill="1" applyBorder="1"/>
    <x:xf numFmtId="201" fontId="4" fillId="0" borderId="4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/>
    <x:xf numFmtId="0" fontId="4" fillId="3" borderId="5" xfId="0" applyNumberFormat="1" applyFont="1" applyFill="1" applyBorder="1"/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202" fontId="4" fillId="5" borderId="4" xfId="0" applyNumberFormat="1" applyFont="1" applyFill="1" applyBorder="1" applyAlignment="1">
      <x:alignment vertical="top" wrapText="1"/>
    </x:xf>
    <x:xf numFmtId="202" fontId="4" fillId="5" borderId="2" xfId="0" applyNumberFormat="1" applyFont="1" applyFill="1" applyBorder="1" applyAlignment="1">
      <x:alignment vertical="top" wrapText="1"/>
    </x:xf>
    <x:xf numFmtId="202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3" fontId="4" fillId="3" borderId="4" xfId="0" applyNumberFormat="1" applyFont="1" applyFill="1" applyBorder="1" applyAlignment="1">
      <x:alignment vertical="center"/>
    </x:xf>
    <x:xf numFmtId="203" fontId="4" fillId="3" borderId="2" xfId="0" applyNumberFormat="1" applyFont="1" applyFill="1" applyBorder="1" applyAlignment="1">
      <x:alignment vertical="center"/>
    </x:xf>
    <x:xf numFmtId="203" fontId="4" fillId="3" borderId="5" xfId="0" applyNumberFormat="1" applyFont="1" applyFill="1" applyBorder="1" applyAlignment="1">
      <x:alignment vertical="center"/>
    </x:xf>
    <x:xf numFmtId="204" fontId="4" fillId="3" borderId="4" xfId="0" applyNumberFormat="1" applyFont="1" applyFill="1" applyBorder="1" applyAlignment="1">
      <x:alignment vertical="center"/>
    </x:xf>
    <x:xf numFmtId="204" fontId="4" fillId="3" borderId="2" xfId="0" applyNumberFormat="1" applyFont="1" applyFill="1" applyBorder="1" applyAlignment="1">
      <x:alignment vertical="center"/>
    </x:xf>
    <x:xf numFmtId="204" fontId="4" fillId="3" borderId="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3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3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200" fontId="7" fillId="7" borderId="1" xfId="0" applyNumberFormat="1" applyFont="1" applyFill="1" applyBorder="1" applyAlignment="1">
      <x:alignment horizontal="center" vertical="center"/>
    </x:xf>
    <x:xf numFmtId="200" fontId="7" fillId="7" borderId="3" xfId="0" applyNumberFormat="1" applyFont="1" applyFill="1" applyBorder="1" applyAlignment="1">
      <x:alignment horizontal="center" vertical="center"/>
    </x:xf>
    <x:xf numFmtId="204" fontId="7" fillId="7" borderId="1" xfId="0" applyNumberFormat="1" applyFont="1" applyFill="1" applyBorder="1" applyAlignment="1">
      <x:alignment horizontal="center" vertical="center"/>
    </x:xf>
    <x:xf numFmtId="204" fontId="7" fillId="7" borderId="3" xfId="0" applyNumberFormat="1" applyFont="1" applyFill="1" applyBorder="1" applyAlignment="1">
      <x:alignment horizontal="center" vertical="center"/>
    </x:xf>
    <x:xf numFmtId="205" fontId="7" fillId="7" borderId="1" xfId="0" applyNumberFormat="1" applyFont="1" applyFill="1" applyBorder="1" applyAlignment="1">
      <x:alignment horizontal="center" vertical="center"/>
    </x:xf>
    <x:xf numFmtId="205" fontId="7" fillId="7" borderId="3" xfId="0" applyNumberFormat="1" applyFont="1" applyFill="1" applyBorder="1" applyAlignment="1">
      <x:alignment horizontal="center" vertical="center"/>
    </x:xf>
    <x:xf numFmtId="203" fontId="7" fillId="7" borderId="1" xfId="0" applyNumberFormat="1" applyFont="1" applyFill="1" applyBorder="1" applyAlignment="1">
      <x:alignment horizontal="center" vertical="center"/>
    </x:xf>
    <x:xf numFmtId="203" fontId="7" fillId="7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/>
    <x:xf numFmtId="0" fontId="5" fillId="0" borderId="5" xfId="0" applyNumberFormat="1" applyFont="1" applyFill="1" applyBorder="1"/>
    <x:xf numFmtId="200" fontId="5" fillId="0" borderId="4" xfId="0" applyNumberFormat="1" applyFont="1" applyFill="1" applyBorder="1"/>
    <x:xf numFmtId="200" fontId="5" fillId="0" borderId="2" xfId="0" applyNumberFormat="1" applyFont="1" applyFill="1" applyBorder="1"/>
    <x:xf numFmtId="200" fontId="5" fillId="0" borderId="5" xfId="0" applyNumberFormat="1" applyFont="1" applyFill="1" applyBorder="1"/>
    <x:xf numFmtId="204" fontId="5" fillId="0" borderId="4" xfId="0" applyNumberFormat="1" applyFont="1" applyFill="1" applyBorder="1"/>
    <x:xf numFmtId="204" fontId="5" fillId="0" borderId="2" xfId="0" applyNumberFormat="1" applyFont="1" applyFill="1" applyBorder="1"/>
    <x:xf numFmtId="204" fontId="5" fillId="0" borderId="5" xfId="0" applyNumberFormat="1" applyFont="1" applyFill="1" applyBorder="1"/>
    <x:xf numFmtId="203" fontId="5" fillId="0" borderId="4" xfId="0" applyNumberFormat="1" applyFont="1" applyFill="1" applyBorder="1"/>
    <x:xf numFmtId="203" fontId="5" fillId="0" borderId="2" xfId="0" applyNumberFormat="1" applyFont="1" applyFill="1" applyBorder="1"/>
    <x:xf numFmtId="203" fontId="5" fillId="0" borderId="5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2" xfId="0" applyNumberFormat="1" applyFont="1" applyFill="1" applyBorder="1"/>
    <x:xf numFmtId="0" fontId="8" fillId="5" borderId="3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2" xfId="0" applyNumberFormat="1" applyFont="1" applyFill="1" applyBorder="1" applyAlignment="1">
      <x:alignment wrapText="1"/>
    </x:xf>
    <x:xf numFmtId="0" fontId="8" fillId="5" borderId="3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wrapText="1"/>
    </x:xf>
    <x:xf numFmtId="0" fontId="8" fillId="5" borderId="2" xfId="0" applyNumberFormat="1" applyFont="1" applyFill="1" applyBorder="1" applyAlignment="1">
      <x:alignment horizontal="center" wrapText="1"/>
    </x:xf>
    <x:xf numFmtId="0" fontId="8" fillId="5" borderId="3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center" wrapText="1"/>
    </x:xf>
    <x:xf numFmtId="0" fontId="9" fillId="8" borderId="10" xfId="0" applyNumberFormat="1" applyFont="1" applyFill="1" applyBorder="1" applyAlignment="1">
      <x:alignment vertical="center" wrapText="1"/>
    </x:xf>
    <x:xf numFmtId="0" fontId="10" fillId="8" borderId="10" xfId="0" applyNumberFormat="1" applyFont="1" applyFill="1" applyBorder="1" applyAlignment="1">
      <x:alignment vertical="center" wrapText="1"/>
    </x:xf>
    <x:xf numFmtId="0" fontId="9" fillId="9" borderId="10" xfId="0" applyNumberFormat="1" applyFont="1" applyFill="1" applyBorder="1" applyAlignment="1">
      <x:alignment vertical="center" wrapText="1"/>
    </x:xf>
    <x:xf numFmtId="0" fontId="11" fillId="9" borderId="10" xfId="0" applyNumberFormat="1" applyFont="1" applyFill="1" applyBorder="1" applyAlignment="1">
      <x:alignment vertical="center" wrapText="1"/>
    </x:xf>
    <x:xf numFmtId="0" fontId="9" fillId="0" borderId="11" xfId="0" applyNumberFormat="1" applyFont="1" applyFill="1" applyBorder="1" applyAlignment="1">
      <x:alignment vertical="center" wrapText="1"/>
    </x:xf>
    <x:xf numFmtId="0" fontId="9" fillId="10" borderId="11" xfId="0" applyNumberFormat="1" applyFont="1" applyFill="1" applyBorder="1" applyAlignment="1">
      <x:alignment vertical="center" wrapText="1"/>
    </x:xf>
    <x:xf numFmtId="0" fontId="12" fillId="10" borderId="11" xfId="0" applyNumberFormat="1" applyFont="1" applyFill="1" applyBorder="1" applyAlignment="1">
      <x:alignment vertical="center" wrapText="1"/>
    </x:xf>
    <x:xf numFmtId="0" fontId="9" fillId="11" borderId="10" xfId="0" applyNumberFormat="1" applyFont="1" applyFill="1" applyBorder="1" applyAlignment="1">
      <x:alignment vertical="center" wrapText="1"/>
    </x:xf>
    <x:xf numFmtId="0" fontId="13" fillId="11" borderId="10" xfId="0" applyNumberFormat="1" applyFont="1" applyFill="1" applyBorder="1" applyAlignment="1">
      <x:alignment vertical="center" wrapText="1"/>
    </x:xf>
    <x:xf numFmtId="0" fontId="13" fillId="11" borderId="12" xfId="0" applyNumberFormat="1" applyFont="1" applyFill="1" applyBorder="1" applyAlignment="1">
      <x:alignment vertical="center" wrapText="1"/>
    </x:xf>
    <x:xf numFmtId="0" fontId="13" fillId="11" borderId="13" xfId="0" applyNumberFormat="1" applyFont="1" applyFill="1" applyBorder="1" applyAlignment="1">
      <x:alignment vertical="center" wrapText="1"/>
    </x:xf>
    <x:xf numFmtId="0" fontId="13" fillId="11" borderId="14" xfId="0" applyNumberFormat="1" applyFont="1" applyFill="1" applyBorder="1" applyAlignment="1">
      <x:alignment vertical="center" wrapText="1"/>
    </x:xf>
    <x:xf numFmtId="0" fontId="13" fillId="11" borderId="15" xfId="0" applyNumberFormat="1" applyFont="1" applyFill="1" applyBorder="1" applyAlignment="1">
      <x:alignment vertical="center" wrapText="1"/>
    </x:xf>
    <x:xf numFmtId="0" fontId="13" fillId="11" borderId="16" xfId="0" applyNumberFormat="1" applyFont="1" applyFill="1" applyBorder="1" applyAlignment="1">
      <x:alignment vertical="center" wrapText="1"/>
    </x:xf>
    <x:xf numFmtId="0" fontId="13" fillId="11" borderId="17" xfId="0" applyNumberFormat="1" applyFont="1" applyFill="1" applyBorder="1" applyAlignment="1">
      <x:alignment vertical="center" wrapText="1"/>
    </x:xf>
    <x:xf numFmtId="0" fontId="9" fillId="10" borderId="10" xfId="0" applyNumberFormat="1" applyFont="1" applyFill="1" applyBorder="1" applyAlignment="1">
      <x:alignment vertical="center" wrapText="1"/>
    </x:xf>
    <x:xf numFmtId="0" fontId="12" fillId="10" borderId="10" xfId="0" applyNumberFormat="1" applyFont="1" applyFill="1" applyBorder="1" applyAlignment="1">
      <x:alignment vertical="center" wrapText="1"/>
    </x:xf>
    <x:xf numFmtId="0" fontId="12" fillId="10" borderId="10" xfId="0" applyNumberFormat="1" applyFont="1" applyFill="1" applyBorder="1" applyAlignment="1">
      <x:alignment horizontal="center" vertical="center" wrapText="1"/>
    </x:xf>
    <x:xf numFmtId="0" fontId="9" fillId="12" borderId="10" xfId="0" applyNumberFormat="1" applyFont="1" applyFill="1" applyBorder="1" applyAlignment="1">
      <x:alignment vertical="center" wrapText="1"/>
    </x:xf>
    <x:xf numFmtId="0" fontId="9" fillId="13" borderId="10" xfId="0" applyNumberFormat="1" applyFont="1" applyFill="1" applyBorder="1" applyAlignment="1">
      <x:alignment vertical="center" wrapText="1"/>
    </x:xf>
    <x:xf numFmtId="0" fontId="14" fillId="13" borderId="10" xfId="0" applyNumberFormat="1" applyFont="1" applyFill="1" applyBorder="1" applyAlignment="1">
      <x:alignment vertical="center" wrapText="1"/>
    </x:xf>
    <x:xf numFmtId="206" fontId="9" fillId="0" borderId="10" xfId="0" applyNumberFormat="1" applyFont="1" applyFill="1" applyBorder="1" applyAlignment="1">
      <x:alignment vertical="center" wrapText="1"/>
    </x:xf>
    <x:xf numFmtId="204" fontId="9" fillId="12" borderId="10" xfId="0" applyNumberFormat="1" applyFont="1" applyFill="1" applyBorder="1" applyAlignment="1">
      <x:alignment vertical="center" wrapText="1"/>
    </x:xf>
    <x:xf numFmtId="206" fontId="9" fillId="12" borderId="10" xfId="0" applyNumberFormat="1" applyFont="1" applyFill="1" applyBorder="1" applyAlignment="1">
      <x:alignment vertical="center" wrapText="1"/>
    </x:xf>
    <x:xf numFmtId="200" fontId="9" fillId="12" borderId="10" xfId="0" applyNumberFormat="1" applyFont="1" applyFill="1" applyBorder="1" applyAlignment="1">
      <x:alignment vertical="center" wrapText="1"/>
    </x:xf>
    <x:xf numFmtId="200" fontId="9" fillId="0" borderId="10" xfId="0" applyNumberFormat="1" applyFont="1" applyFill="1" applyBorder="1" applyAlignment="1">
      <x:alignment vertical="center" wrapText="1"/>
    </x:xf>
    <x:xf numFmtId="0" fontId="9" fillId="12" borderId="10" xfId="0" applyNumberFormat="1" applyFont="1" applyFill="1" applyBorder="1" applyAlignment="1">
      <x:alignment horizontal="center" vertical="center" wrapText="1"/>
    </x:xf>
    <x:xf numFmtId="200" fontId="9" fillId="12" borderId="10" xfId="0" applyNumberFormat="1" applyFont="1" applyFill="1" applyBorder="1" applyAlignment="1">
      <x:alignment horizontal="center" vertical="center" wrapText="1"/>
    </x:xf>
    <x:xf numFmtId="204" fontId="9" fillId="12" borderId="10" xfId="0" applyNumberFormat="1" applyFont="1" applyFill="1" applyBorder="1" applyAlignment="1">
      <x:alignment horizontal="center" vertical="center" wrapText="1"/>
    </x:xf>
    <x:xf numFmtId="206" fontId="9" fillId="12" borderId="10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206" fontId="9" fillId="0" borderId="10" xfId="0" applyNumberFormat="1" applyFont="1" applyFill="1" applyBorder="1" applyAlignment="1">
      <x:alignment horizontal="center" vertical="center" wrapText="1"/>
    </x:xf>
    <x:xf numFmtId="200" fontId="9" fillId="0" borderId="10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>
          <x:bgColor rgb="FFEAF6EF"/>
        </x:patternFill>
      </x:fill>
    </x:dxf>
    <x:dxf>
      <x:font>
        <x:color rgb="FF92400E"/>
      </x:font>
      <x:fill>
        <x:patternFill>
          <x:bgColor rgb="FFFFF4DB"/>
        </x:patternFill>
      </x:fill>
    </x:dxf>
    <x:dxf>
      <x:font>
        <x:color rgb="FF166534"/>
      </x:font>
      <x:fill>
        <x:patternFill>
          <x:bgColor rgb="FFEAF6EF"/>
        </x:patternFill>
      </x:fill>
    </x:dxf>
    <x:dxf>
      <x:font>
        <x:color rgb="FF92400E"/>
      </x:font>
      <x:fill>
        <x:patternFill>
          <x:bgColor rgb="FFFFF4DB"/>
        </x:patternFill>
      </x:fill>
    </x:dxf>
    <x:dxf>
      <x:font>
        <x:b/>
        <x:color rgb="FF166534"/>
      </x:font>
      <x:fill>
        <x:patternFill>
          <x:bgColor rgb="FFEAF6EF"/>
        </x:patternFill>
      </x:fill>
    </x:dxf>
    <x:dxf>
      <x:font>
        <x:color rgb="FF991B1B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5927bd3854b57" /><Relationship Type="http://schemas.openxmlformats.org/officeDocument/2006/relationships/theme" Target="/xl/theme/theme1.xml" Id="R5d243895e87843b3" /><Relationship Type="http://schemas.openxmlformats.org/officeDocument/2006/relationships/sharedStrings" Target="/xl/sharedStrings.xml" Id="R90c5f00b583e4176" /><Relationship Type="http://schemas.openxmlformats.org/officeDocument/2006/relationships/worksheet" Target="/xl/worksheets/sheet1.xml" Id="R6da1a425c3e64a77" /><Relationship Type="http://schemas.openxmlformats.org/officeDocument/2006/relationships/worksheet" Target="/xl/worksheets/sheet2.xml" Id="R1ae18ef748ae496b" /><Relationship Type="http://schemas.openxmlformats.org/officeDocument/2006/relationships/worksheet" Target="/xl/worksheets/sheet3.xml" Id="R1e18eb824d8d4970" /><Relationship Type="http://schemas.openxmlformats.org/officeDocument/2006/relationships/worksheet" Target="/xl/worksheets/sheet4.xml" Id="R9a28c081f6a54cde" /><Relationship Type="http://schemas.openxmlformats.org/officeDocument/2006/relationships/worksheet" Target="/xl/worksheets/sheet5.xml" Id="Rf26032e3b2d044f1" /></Relationships>
</file>

<file path=xl/tables/table1.xml><?xml version="1.0" encoding="utf-8"?>
<x:table xmlns:x="http://schemas.openxmlformats.org/spreadsheetml/2006/main" id="1" name="ProjectSampleTable" displayName="ProjectSampleTable" ref="A4:P9" headerRowCount="1" totalsRowCount="0" totalsRowShown="0">
  <x:tableColumns count="16">
    <x:tableColumn id="1" name="项目ID"/>
    <x:tableColumn id="2" name="样本角色"/>
    <x:tableColumn id="3" name="项目名称"/>
    <x:tableColumn id="4" name="项目路径"/>
    <x:tableColumn id="5" name="技术栈"/>
    <x:tableColumn id="6" name="工作流状态"/>
    <x:tableColumn id="7" name="当前分支"/>
    <x:tableColumn id="8" name="最近提交"/>
    <x:tableColumn id="9" name="近30天提交"/>
    <x:tableColumn id="10" name="近90天提交"/>
    <x:tableColumn id="11" name="近90天作者"/>
    <x:tableColumn id="12" name="工作区改动数"/>
    <x:tableColumn id="13" name="需求数"/>
    <x:tableColumn id="14" name="活动变更数"/>
    <x:tableColumn id="15" name="选择理由"/>
    <x:tableColumn id="16" name="主要限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eloperTaskTable" displayName="DeveloperTaskTable" ref="A4:W104" headerRowCount="1" totalsRowCount="0" totalsRowShown="0">
  <x:tableColumns count="23">
    <x:tableColumn id="1" name="任务ID"/>
    <x:tableColumn id="2" name="项目ID"/>
    <x:tableColumn id="3" name="项目名称"/>
    <x:tableColumn id="4" name="样本角色"/>
    <x:tableColumn id="5" name="工作流路线"/>
    <x:tableColumn id="6" name="复杂度"/>
    <x:tableColumn id="7" name="任务类型"/>
    <x:tableColumn id="8" name="开始时间"/>
    <x:tableColumn id="9" name="首次交付时间"/>
    <x:tableColumn id="10" name="最终验收时间"/>
    <x:tableColumn id="11" name="澄清次数"/>
    <x:tableColumn id="12" name="返工次数"/>
    <x:tableColumn id="13" name="阻断次数"/>
    <x:tableColumn id="14" name="误阻断次数"/>
    <x:tableColumn id="15" name="一次验收通过"/>
    <x:tableColumn id="16" name="最终状态"/>
    <x:tableColumn id="17" name="证据位置"/>
    <x:tableColumn id="18" name="备注"/>
    <x:tableColumn id="19" name="首次交付时长(小时)"/>
    <x:tableColumn id="20" name="总周期(小时)"/>
    <x:tableColumn id="21" name="误阻断率"/>
    <x:tableColumn id="22" name="有效样本"/>
    <x:tableColumn id="23" name="数据质量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theticRunMetricsTable" displayName="SyntheticRunMetricsTable" ref="A14:Q26" headerRowCount="1" totalsRowCount="0" totalsRowShown="0">
  <x:tableColumns count="17">
    <x:tableColumn id="1" name="案例编号"/>
    <x:tableColumn id="2" name="项目编号"/>
    <x:tableColumn id="3" name="复杂度"/>
    <x:tableColumn id="4" name="任务类型"/>
    <x:tableColumn id="5" name="组别"/>
    <x:tableColumn id="6" name="路线"/>
    <x:tableColumn id="7" name="执行状态"/>
    <x:tableColumn id="8" name="有效样本"/>
    <x:tableColumn id="9" name="一次验收通过"/>
    <x:tableColumn id="10" name="最终验收通过"/>
    <x:tableColumn id="11" name="首次交付分钟"/>
    <x:tableColumn id="12" name="总周期分钟"/>
    <x:tableColumn id="13" name="澄清次数"/>
    <x:tableColumn id="14" name="返工次数"/>
    <x:tableColumn id="15" name="阻断次数"/>
    <x:tableColumn id="16" name="确认误阻断数"/>
    <x:tableColumn id="17" name="无效原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theticPairMetricsTable" displayName="SyntheticPairMetricsTable" ref="A29:M35" headerRowCount="1" totalsRowCount="0" totalsRowShown="0">
  <x:tableColumns count="13">
    <x:tableColumn id="1" name="案例编号"/>
    <x:tableColumn id="2" name="项目编号"/>
    <x:tableColumn id="3" name="复杂度"/>
    <x:tableColumn id="4" name="任务类型"/>
    <x:tableColumn id="5" name="插件最终通过"/>
    <x:tableColumn id="6" name="基线最终通过"/>
    <x:tableColumn id="7" name="插件总周期分钟"/>
    <x:tableColumn id="8" name="基线总周期分钟"/>
    <x:tableColumn id="9" name="周期差（插件-基线）"/>
    <x:tableColumn id="10" name="插件返工"/>
    <x:tableColumn id="11" name="基线返工"/>
    <x:tableColumn id="12" name="返工差（插件-基线）"/>
    <x:tableColumn id="13" name="配对描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13a63180704b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5a505152a047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a4b50c7f3994733" /><Relationship Type="http://schemas.openxmlformats.org/officeDocument/2006/relationships/table" Target="/xl/tables/table4.xml" Id="Rb7ca439f0f614a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开发者交付效果试点看板</x:v>
      </x:c>
      <x:c r="B1" s="3" t="str">
        <x:v>开发者交付效果试点看板</x:v>
      </x:c>
      <x:c r="C1" s="3" t="str">
        <x:v>开发者交付效果试点看板</x:v>
      </x:c>
      <x:c r="D1" s="3" t="str">
        <x:v>开发者交付效果试点看板</x:v>
      </x:c>
      <x:c r="E1" s="3" t="str">
        <x:v>开发者交付效果试点看板</x:v>
      </x:c>
      <x:c r="F1" s="3" t="str">
        <x:v>开发者交付效果试点看板</x:v>
      </x:c>
      <x:c r="G1" s="3" t="str">
        <x:v>开发者交付效果试点看板</x:v>
      </x:c>
      <x:c r="H1" s="3" t="str">
        <x:v>开发者交付效果试点看板</x:v>
      </x:c>
    </x:row>
    <x:row r="2" ht="32" customHeight="1">
      <x:c r="A2" s="7" t="str">
        <x:v>当前先验证采集口径；样本不足时不形成“工作流提升或降低效率”的结论。</x:v>
      </x:c>
      <x:c r="B2" s="7" t="str">
        <x:v>当前先验证采集口径；样本不足时不形成“工作流提升或降低效率”的结论。</x:v>
      </x:c>
      <x:c r="C2" s="7" t="str">
        <x:v>当前先验证采集口径；样本不足时不形成“工作流提升或降低效率”的结论。</x:v>
      </x:c>
      <x:c r="D2" s="7" t="str">
        <x:v>当前先验证采集口径；样本不足时不形成“工作流提升或降低效率”的结论。</x:v>
      </x:c>
      <x:c r="E2" s="7" t="str">
        <x:v>当前先验证采集口径；样本不足时不形成“工作流提升或降低效率”的结论。</x:v>
      </x:c>
      <x:c r="F2" s="7" t="str">
        <x:v>当前先验证采集口径；样本不足时不形成“工作流提升或降低效率”的结论。</x:v>
      </x:c>
      <x:c r="G2" s="7" t="str">
        <x:v>当前先验证采集口径；样本不足时不形成“工作流提升或降低效率”的结论。</x:v>
      </x:c>
      <x:c r="H2" s="7" t="str">
        <x:v>当前先验证采集口径；样本不足时不形成“工作流提升或降低效率”的结论。</x:v>
      </x:c>
    </x:row>
    <x:row r="4" ht="22" customHeight="1">
      <x:c r="A4" s="92" t="str">
        <x:v>有效样本数</x:v>
      </x:c>
      <x:c r="B4" s="93" t="str">
        <x:v>有效样本数</x:v>
      </x:c>
      <x:c r="C4" s="92" t="str">
        <x:v>已登记任务</x:v>
      </x:c>
      <x:c r="D4" s="93" t="str">
        <x:v>已登记任务</x:v>
      </x:c>
      <x:c r="E4" s="92" t="str">
        <x:v>一次验收通过率</x:v>
      </x:c>
      <x:c r="F4" s="93" t="str">
        <x:v>一次验收通过率</x:v>
      </x:c>
      <x:c r="G4" s="92" t="str">
        <x:v>样本准备度</x:v>
      </x:c>
      <x:c r="H4" s="93" t="str">
        <x:v>样本准备度</x:v>
      </x:c>
    </x:row>
    <x:row r="5" ht="30" customHeight="1">
      <x:c r="A5" s="102" t="n">
        <x:f>COUNTIF('任务记录'!$V$5:$V$104,"是")</x:f>
        <x:v>0</x:v>
      </x:c>
      <x:c r="B5" s="103"/>
      <x:c r="C5" s="102" t="n">
        <x:f>COUNTIF('任务记录'!$A$5:$A$104,"&lt;&gt;")</x:f>
        <x:v>2</x:v>
      </x:c>
      <x:c r="D5" s="103"/>
      <x:c r="E5" s="104" t="str">
        <x:f>IFERROR(COUNTIFS('任务记录'!$V$5:$V$104,"是",'任务记录'!$O$5:$O$104,"是")/COUNTIF('任务记录'!$V$5:$V$104,"是"),"")</x:f>
      </x:c>
      <x:c r="F5" s="105"/>
      <x:c r="G5" s="106" t="n">
        <x:f>MIN(1,COUNTIF('任务记录'!$V$5:$V$104,"是")/'指标定义'!$I$4)</x:f>
        <x:v>0</x:v>
      </x:c>
      <x:c r="H5" s="107"/>
    </x:row>
    <x:row r="7" ht="22" customHeight="1">
      <x:c r="A7" s="92" t="str">
        <x:v>平均首次交付小时</x:v>
      </x:c>
      <x:c r="B7" s="93" t="str">
        <x:v>平均首次交付小时</x:v>
      </x:c>
      <x:c r="C7" s="92" t="str">
        <x:v>平均总周期小时</x:v>
      </x:c>
      <x:c r="D7" s="93" t="str">
        <x:v>平均总周期小时</x:v>
      </x:c>
      <x:c r="E7" s="92" t="str">
        <x:v>平均返工次数</x:v>
      </x:c>
      <x:c r="F7" s="93" t="str">
        <x:v>平均返工次数</x:v>
      </x:c>
      <x:c r="G7" s="92" t="str">
        <x:v>总体误阻断率</x:v>
      </x:c>
      <x:c r="H7" s="93" t="str">
        <x:v>总体误阻断率</x:v>
      </x:c>
    </x:row>
    <x:row r="8" ht="30" customHeight="1">
      <x:c r="A8" s="108" t="str">
        <x:f>IFERROR(AVERAGEIF('任务记录'!$V$5:$V$104,"是",'任务记录'!$S$5:$S$104),"")</x:f>
      </x:c>
      <x:c r="B8" s="109"/>
      <x:c r="C8" s="108" t="str">
        <x:f>IFERROR(AVERAGEIF('任务记录'!$V$5:$V$104,"是",'任务记录'!$T$5:$T$104),"")</x:f>
      </x:c>
      <x:c r="D8" s="109"/>
      <x:c r="E8" s="108" t="str">
        <x:f>IFERROR(AVERAGEIF('任务记录'!$V$5:$V$104,"是",'任务记录'!$L$5:$L$104),"")</x:f>
      </x:c>
      <x:c r="F8" s="109"/>
      <x:c r="G8" s="104" t="str">
        <x:f>IFERROR(SUMIFS('任务记录'!$N$5:$N$104,'任务记录'!$V$5:$V$104,"是")/SUMIFS('任务记录'!$M$5:$M$104,'任务记录'!$V$5:$V$104,"是"),"")</x:f>
      </x:c>
      <x:c r="H8" s="105"/>
    </x:row>
    <x:row r="11" ht="30" customHeight="1">
      <x:c r="A11" s="19" t="str">
        <x:v>工作流路线</x:v>
      </x:c>
      <x:c r="B11" s="20" t="str">
        <x:v>有效样本</x:v>
      </x:c>
      <x:c r="C11" s="20" t="str">
        <x:v>一次验收通过率</x:v>
      </x:c>
      <x:c r="D11" s="20" t="str">
        <x:v>平均首次交付小时</x:v>
      </x:c>
      <x:c r="E11" s="20" t="str">
        <x:v>平均总周期小时</x:v>
      </x:c>
      <x:c r="F11" s="20" t="str">
        <x:v>平均澄清次数</x:v>
      </x:c>
      <x:c r="G11" s="20" t="str">
        <x:v>平均返工次数</x:v>
      </x:c>
      <x:c r="H11" s="21" t="str">
        <x:v>误阻断率</x:v>
      </x:c>
    </x:row>
    <x:row r="12">
      <x:c r="A12" s="111" t="str">
        <x:v>快速通道</x:v>
      </x:c>
      <x:c r="B12" s="114" t="n">
        <x:f>COUNTIFS('任务记录'!$V$5:$V$104,"是",'任务记录'!$E$5:$E$104,A12)</x:f>
        <x:v>0</x:v>
      </x:c>
      <x:c r="C12" s="117" t="str">
        <x:f>IFERROR(COUNTIFS('任务记录'!$V$5:$V$104,"是",'任务记录'!$E$5:$E$104,A12,'任务记录'!$O$5:$O$104,"是")/B12,"")</x:f>
      </x:c>
      <x:c r="D12" s="120" t="str">
        <x:f>IFERROR(AVERAGEIFS('任务记录'!$S$5:$S$104,'任务记录'!$V$5:$V$104,"是",'任务记录'!$E$5:$E$104,A12),"")</x:f>
      </x:c>
      <x:c r="E12" s="120" t="str">
        <x:f>IFERROR(AVERAGEIFS('任务记录'!$T$5:$T$104,'任务记录'!$V$5:$V$104,"是",'任务记录'!$E$5:$E$104,A12),"")</x:f>
      </x:c>
      <x:c r="F12" s="120" t="str">
        <x:f>IFERROR(AVERAGEIFS('任务记录'!$K$5:$K$104,'任务记录'!$V$5:$V$104,"是",'任务记录'!$E$5:$E$104,A12),"")</x:f>
      </x:c>
      <x:c r="G12" s="120" t="str">
        <x:f>IFERROR(AVERAGEIFS('任务记录'!$L$5:$L$104,'任务记录'!$V$5:$V$104,"是",'任务记录'!$E$5:$E$104,A12),"")</x:f>
      </x:c>
      <x:c r="H12" s="117" t="str">
        <x:f>IFERROR(SUMIFS('任务记录'!$N$5:$N$104,'任务记录'!$V$5:$V$104,"是",'任务记录'!$E$5:$E$104,A12)/SUMIFS('任务记录'!$M$5:$M$104,'任务记录'!$V$5:$V$104,"是",'任务记录'!$E$5:$E$104,A12),"")</x:f>
      </x:c>
    </x:row>
    <x:row r="13">
      <x:c r="A13" s="112" t="str">
        <x:v>完整通道</x:v>
      </x:c>
      <x:c r="B13" s="115" t="n">
        <x:f>COUNTIFS('任务记录'!$V$5:$V$104,"是",'任务记录'!$E$5:$E$104,A13)</x:f>
        <x:v>0</x:v>
      </x:c>
      <x:c r="C13" s="118" t="str">
        <x:f>IFERROR(COUNTIFS('任务记录'!$V$5:$V$104,"是",'任务记录'!$E$5:$E$104,A13,'任务记录'!$O$5:$O$104,"是")/B13,"")</x:f>
      </x:c>
      <x:c r="D13" s="121" t="str">
        <x:f>IFERROR(AVERAGEIFS('任务记录'!$S$5:$S$104,'任务记录'!$V$5:$V$104,"是",'任务记录'!$E$5:$E$104,A13),"")</x:f>
      </x:c>
      <x:c r="E13" s="121" t="str">
        <x:f>IFERROR(AVERAGEIFS('任务记录'!$T$5:$T$104,'任务记录'!$V$5:$V$104,"是",'任务记录'!$E$5:$E$104,A13),"")</x:f>
      </x:c>
      <x:c r="F13" s="121" t="str">
        <x:f>IFERROR(AVERAGEIFS('任务记录'!$K$5:$K$104,'任务记录'!$V$5:$V$104,"是",'任务记录'!$E$5:$E$104,A13),"")</x:f>
      </x:c>
      <x:c r="G13" s="121" t="str">
        <x:f>IFERROR(AVERAGEIFS('任务记录'!$L$5:$L$104,'任务记录'!$V$5:$V$104,"是",'任务记录'!$E$5:$E$104,A13),"")</x:f>
      </x:c>
      <x:c r="H13" s="118" t="str">
        <x:f>IFERROR(SUMIFS('任务记录'!$N$5:$N$104,'任务记录'!$V$5:$V$104,"是",'任务记录'!$E$5:$E$104,A13)/SUMIFS('任务记录'!$M$5:$M$104,'任务记录'!$V$5:$V$104,"是",'任务记录'!$E$5:$E$104,A13),"")</x:f>
      </x:c>
    </x:row>
    <x:row r="14">
      <x:c r="A14" s="113" t="str">
        <x:v>未使用</x:v>
      </x:c>
      <x:c r="B14" s="116" t="n">
        <x:f>COUNTIFS('任务记录'!$V$5:$V$104,"是",'任务记录'!$E$5:$E$104,A14)</x:f>
        <x:v>0</x:v>
      </x:c>
      <x:c r="C14" s="119" t="str">
        <x:f>IFERROR(COUNTIFS('任务记录'!$V$5:$V$104,"是",'任务记录'!$E$5:$E$104,A14,'任务记录'!$O$5:$O$104,"是")/B14,"")</x:f>
      </x:c>
      <x:c r="D14" s="122" t="str">
        <x:f>IFERROR(AVERAGEIFS('任务记录'!$S$5:$S$104,'任务记录'!$V$5:$V$104,"是",'任务记录'!$E$5:$E$104,A14),"")</x:f>
      </x:c>
      <x:c r="E14" s="122" t="str">
        <x:f>IFERROR(AVERAGEIFS('任务记录'!$T$5:$T$104,'任务记录'!$V$5:$V$104,"是",'任务记录'!$E$5:$E$104,A14),"")</x:f>
      </x:c>
      <x:c r="F14" s="122" t="str">
        <x:f>IFERROR(AVERAGEIFS('任务记录'!$K$5:$K$104,'任务记录'!$V$5:$V$104,"是",'任务记录'!$E$5:$E$104,A14),"")</x:f>
      </x:c>
      <x:c r="G14" s="122" t="str">
        <x:f>IFERROR(AVERAGEIFS('任务记录'!$L$5:$L$104,'任务记录'!$V$5:$V$104,"是",'任务记录'!$E$5:$E$104,A14),"")</x:f>
      </x:c>
      <x:c r="H14" s="119" t="str">
        <x:f>IFERROR(SUMIFS('任务记录'!$N$5:$N$104,'任务记录'!$V$5:$V$104,"是",'任务记录'!$E$5:$E$104,A14)/SUMIFS('任务记录'!$M$5:$M$104,'任务记录'!$V$5:$V$104,"是",'任务记录'!$E$5:$E$104,A14),"")</x:f>
      </x:c>
    </x:row>
    <x:row r="17" ht="30" customHeight="1">
      <x:c r="A17" s="19" t="str">
        <x:v>复杂度</x:v>
      </x:c>
      <x:c r="B17" s="20" t="str">
        <x:v>有效样本</x:v>
      </x:c>
      <x:c r="C17" s="20" t="str">
        <x:v>一次验收通过率</x:v>
      </x:c>
      <x:c r="D17" s="20" t="str">
        <x:v>平均首次交付小时</x:v>
      </x:c>
      <x:c r="E17" s="20" t="str">
        <x:v>平均总周期小时</x:v>
      </x:c>
      <x:c r="F17" s="20" t="str">
        <x:v>平均澄清次数</x:v>
      </x:c>
      <x:c r="G17" s="20" t="str">
        <x:v>平均返工次数</x:v>
      </x:c>
      <x:c r="H17" s="21" t="str">
        <x:v>误阻断率</x:v>
      </x:c>
    </x:row>
    <x:row r="18">
      <x:c r="A18" s="111" t="str">
        <x:v>小型</x:v>
      </x:c>
      <x:c r="B18" s="114" t="n">
        <x:f>COUNTIFS('任务记录'!$V$5:$V$104,"是",'任务记录'!$F$5:$F$104,A18)</x:f>
        <x:v>0</x:v>
      </x:c>
      <x:c r="C18" s="117" t="str">
        <x:f>IFERROR(COUNTIFS('任务记录'!$V$5:$V$104,"是",'任务记录'!$F$5:$F$104,A18,'任务记录'!$O$5:$O$104,"是")/B18,"")</x:f>
      </x:c>
      <x:c r="D18" s="120" t="str">
        <x:f>IFERROR(AVERAGEIFS('任务记录'!$S$5:$S$104,'任务记录'!$V$5:$V$104,"是",'任务记录'!$F$5:$F$104,A18),"")</x:f>
      </x:c>
      <x:c r="E18" s="120" t="str">
        <x:f>IFERROR(AVERAGEIFS('任务记录'!$T$5:$T$104,'任务记录'!$V$5:$V$104,"是",'任务记录'!$F$5:$F$104,A18),"")</x:f>
      </x:c>
      <x:c r="F18" s="120" t="str">
        <x:f>IFERROR(AVERAGEIFS('任务记录'!$K$5:$K$104,'任务记录'!$V$5:$V$104,"是",'任务记录'!$F$5:$F$104,A18),"")</x:f>
      </x:c>
      <x:c r="G18" s="120" t="str">
        <x:f>IFERROR(AVERAGEIFS('任务记录'!$L$5:$L$104,'任务记录'!$V$5:$V$104,"是",'任务记录'!$F$5:$F$104,A18),"")</x:f>
      </x:c>
      <x:c r="H18" s="117" t="str">
        <x:f>IFERROR(SUMIFS('任务记录'!$N$5:$N$104,'任务记录'!$V$5:$V$104,"是",'任务记录'!$F$5:$F$104,A18)/SUMIFS('任务记录'!$M$5:$M$104,'任务记录'!$V$5:$V$104,"是",'任务记录'!$F$5:$F$104,A18),"")</x:f>
      </x:c>
    </x:row>
    <x:row r="19">
      <x:c r="A19" s="112" t="str">
        <x:v>中型</x:v>
      </x:c>
      <x:c r="B19" s="115" t="n">
        <x:f>COUNTIFS('任务记录'!$V$5:$V$104,"是",'任务记录'!$F$5:$F$104,A19)</x:f>
        <x:v>0</x:v>
      </x:c>
      <x:c r="C19" s="118" t="str">
        <x:f>IFERROR(COUNTIFS('任务记录'!$V$5:$V$104,"是",'任务记录'!$F$5:$F$104,A19,'任务记录'!$O$5:$O$104,"是")/B19,"")</x:f>
      </x:c>
      <x:c r="D19" s="121" t="str">
        <x:f>IFERROR(AVERAGEIFS('任务记录'!$S$5:$S$104,'任务记录'!$V$5:$V$104,"是",'任务记录'!$F$5:$F$104,A19),"")</x:f>
      </x:c>
      <x:c r="E19" s="121" t="str">
        <x:f>IFERROR(AVERAGEIFS('任务记录'!$T$5:$T$104,'任务记录'!$V$5:$V$104,"是",'任务记录'!$F$5:$F$104,A19),"")</x:f>
      </x:c>
      <x:c r="F19" s="121" t="str">
        <x:f>IFERROR(AVERAGEIFS('任务记录'!$K$5:$K$104,'任务记录'!$V$5:$V$104,"是",'任务记录'!$F$5:$F$104,A19),"")</x:f>
      </x:c>
      <x:c r="G19" s="121" t="str">
        <x:f>IFERROR(AVERAGEIFS('任务记录'!$L$5:$L$104,'任务记录'!$V$5:$V$104,"是",'任务记录'!$F$5:$F$104,A19),"")</x:f>
      </x:c>
      <x:c r="H19" s="118" t="str">
        <x:f>IFERROR(SUMIFS('任务记录'!$N$5:$N$104,'任务记录'!$V$5:$V$104,"是",'任务记录'!$F$5:$F$104,A19)/SUMIFS('任务记录'!$M$5:$M$104,'任务记录'!$V$5:$V$104,"是",'任务记录'!$F$5:$F$104,A19),"")</x:f>
      </x:c>
    </x:row>
    <x:row r="20">
      <x:c r="A20" s="113" t="str">
        <x:v>大型</x:v>
      </x:c>
      <x:c r="B20" s="116" t="n">
        <x:f>COUNTIFS('任务记录'!$V$5:$V$104,"是",'任务记录'!$F$5:$F$104,A20)</x:f>
        <x:v>0</x:v>
      </x:c>
      <x:c r="C20" s="119" t="str">
        <x:f>IFERROR(COUNTIFS('任务记录'!$V$5:$V$104,"是",'任务记录'!$F$5:$F$104,A20,'任务记录'!$O$5:$O$104,"是")/B20,"")</x:f>
      </x:c>
      <x:c r="D20" s="122" t="str">
        <x:f>IFERROR(AVERAGEIFS('任务记录'!$S$5:$S$104,'任务记录'!$V$5:$V$104,"是",'任务记录'!$F$5:$F$104,A20),"")</x:f>
      </x:c>
      <x:c r="E20" s="122" t="str">
        <x:f>IFERROR(AVERAGEIFS('任务记录'!$T$5:$T$104,'任务记录'!$V$5:$V$104,"是",'任务记录'!$F$5:$F$104,A20),"")</x:f>
      </x:c>
      <x:c r="F20" s="122" t="str">
        <x:f>IFERROR(AVERAGEIFS('任务记录'!$K$5:$K$104,'任务记录'!$V$5:$V$104,"是",'任务记录'!$F$5:$F$104,A20),"")</x:f>
      </x:c>
      <x:c r="G20" s="122" t="str">
        <x:f>IFERROR(AVERAGEIFS('任务记录'!$L$5:$L$104,'任务记录'!$V$5:$V$104,"是",'任务记录'!$F$5:$F$104,A20),"")</x:f>
      </x:c>
      <x:c r="H20" s="119" t="str">
        <x:f>IFERROR(SUMIFS('任务记录'!$N$5:$N$104,'任务记录'!$V$5:$V$104,"是",'任务记录'!$F$5:$F$104,A20)/SUMIFS('任务记录'!$M$5:$M$104,'任务记录'!$V$5:$V$104,"是",'任务记录'!$F$5:$F$104,A20),"")</x:f>
      </x:c>
    </x:row>
    <x:row r="23" ht="34" customHeight="1">
      <x:c r="A23" s="133" t="str">
        <x:f>IF(COUNTIF('任务记录'!$V$5:$V$104,"是")&lt;'指标定义'!$I$4,"当前有效样本不足，仅展示采集状态，不形成效果结论。","样本达到首轮门槛，可按路线和复杂度开展初步复盘。")</x:f>
        <x:v>当前有效样本不足，仅展示采集状态，不形成效果结论。</x:v>
      </x:c>
      <x:c r="B23" s="134"/>
      <x:c r="C23" s="134"/>
      <x:c r="D23" s="134"/>
      <x:c r="E23" s="134"/>
      <x:c r="F23" s="134"/>
      <x:c r="G23" s="134"/>
      <x:c r="H23" s="135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7:B7"/>
    <x:mergeCell ref="A8:B8"/>
    <x:mergeCell ref="C7:D7"/>
    <x:mergeCell ref="C8:D8"/>
    <x:mergeCell ref="E7:F7"/>
    <x:mergeCell ref="E8:F8"/>
    <x:mergeCell ref="G7:H7"/>
    <x:mergeCell ref="G8:H8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7" hidden="0" customWidth="1"/>
    <x:col min="4" max="4" width="54" hidden="0" customWidth="1"/>
    <x:col min="5" max="5" width="34" hidden="0" customWidth="1"/>
    <x:col min="6" max="6" width="24" hidden="0" customWidth="1"/>
    <x:col min="7" max="7" width="32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  <x:col min="13" max="13" width="10" hidden="0" customWidth="1"/>
    <x:col min="14" max="14" width="13" hidden="0" customWidth="1"/>
    <x:col min="15" max="15" width="48" hidden="0" customWidth="1"/>
    <x:col min="16" max="16" width="48" hidden="0" customWidth="1"/>
  </x:cols>
  <x:sheetData>
    <x:row r="1" ht="34" customHeight="1">
      <x:c r="A1" s="3" t="str">
        <x:v>第四项试点项目样本</x:v>
      </x:c>
      <x:c r="B1" s="3" t="str">
        <x:v>第四项试点项目样本</x:v>
      </x:c>
      <x:c r="C1" s="3" t="str">
        <x:v>第四项试点项目样本</x:v>
      </x:c>
      <x:c r="D1" s="3" t="str">
        <x:v>第四项试点项目样本</x:v>
      </x:c>
      <x:c r="E1" s="3" t="str">
        <x:v>第四项试点项目样本</x:v>
      </x:c>
      <x:c r="F1" s="3" t="str">
        <x:v>第四项试点项目样本</x:v>
      </x:c>
      <x:c r="G1" s="3" t="str">
        <x:v>第四项试点项目样本</x:v>
      </x:c>
      <x:c r="H1" s="3" t="str">
        <x:v>第四项试点项目样本</x:v>
      </x:c>
      <x:c r="I1" s="3" t="str">
        <x:v>第四项试点项目样本</x:v>
      </x:c>
      <x:c r="J1" s="3" t="str">
        <x:v>第四项试点项目样本</x:v>
      </x:c>
      <x:c r="K1" s="3" t="str">
        <x:v>第四项试点项目样本</x:v>
      </x:c>
      <x:c r="L1" s="3" t="str">
        <x:v>第四项试点项目样本</x:v>
      </x:c>
      <x:c r="M1" s="3" t="str">
        <x:v>第四项试点项目样本</x:v>
      </x:c>
      <x:c r="N1" s="3" t="str">
        <x:v>第四项试点项目样本</x:v>
      </x:c>
      <x:c r="O1" s="3" t="str">
        <x:v>第四项试点项目样本</x:v>
      </x:c>
      <x:c r="P1" s="3" t="str">
        <x:v>第四项试点项目样本</x:v>
      </x:c>
    </x:row>
    <x:row r="2" ht="32" customHeight="1">
      <x:c r="A2" s="7" t="str">
        <x:v>主样本：两个已接入工作流项目 + 一个未接入观察基线。候补项目只在主样本长期无真实任务时启用。</x:v>
      </x:c>
      <x:c r="B2" s="7" t="str">
        <x:v>主样本：两个已接入工作流项目 + 一个未接入观察基线。候补项目只在主样本长期无真实任务时启用。</x:v>
      </x:c>
      <x:c r="C2" s="7" t="str">
        <x:v>主样本：两个已接入工作流项目 + 一个未接入观察基线。候补项目只在主样本长期无真实任务时启用。</x:v>
      </x:c>
      <x:c r="D2" s="7" t="str">
        <x:v>主样本：两个已接入工作流项目 + 一个未接入观察基线。候补项目只在主样本长期无真实任务时启用。</x:v>
      </x:c>
      <x:c r="E2" s="7" t="str">
        <x:v>主样本：两个已接入工作流项目 + 一个未接入观察基线。候补项目只在主样本长期无真实任务时启用。</x:v>
      </x:c>
      <x:c r="F2" s="7" t="str">
        <x:v>主样本：两个已接入工作流项目 + 一个未接入观察基线。候补项目只在主样本长期无真实任务时启用。</x:v>
      </x:c>
      <x:c r="G2" s="7" t="str">
        <x:v>主样本：两个已接入工作流项目 + 一个未接入观察基线。候补项目只在主样本长期无真实任务时启用。</x:v>
      </x:c>
      <x:c r="H2" s="7" t="str">
        <x:v>主样本：两个已接入工作流项目 + 一个未接入观察基线。候补项目只在主样本长期无真实任务时启用。</x:v>
      </x:c>
      <x:c r="I2" s="7" t="str">
        <x:v>主样本：两个已接入工作流项目 + 一个未接入观察基线。候补项目只在主样本长期无真实任务时启用。</x:v>
      </x:c>
      <x:c r="J2" s="7" t="str">
        <x:v>主样本：两个已接入工作流项目 + 一个未接入观察基线。候补项目只在主样本长期无真实任务时启用。</x:v>
      </x:c>
      <x:c r="K2" s="7" t="str">
        <x:v>主样本：两个已接入工作流项目 + 一个未接入观察基线。候补项目只在主样本长期无真实任务时启用。</x:v>
      </x:c>
      <x:c r="L2" s="7" t="str">
        <x:v>主样本：两个已接入工作流项目 + 一个未接入观察基线。候补项目只在主样本长期无真实任务时启用。</x:v>
      </x:c>
      <x:c r="M2" s="7" t="str">
        <x:v>主样本：两个已接入工作流项目 + 一个未接入观察基线。候补项目只在主样本长期无真实任务时启用。</x:v>
      </x:c>
      <x:c r="N2" s="7" t="str">
        <x:v>主样本：两个已接入工作流项目 + 一个未接入观察基线。候补项目只在主样本长期无真实任务时启用。</x:v>
      </x:c>
      <x:c r="O2" s="7" t="str">
        <x:v>主样本：两个已接入工作流项目 + 一个未接入观察基线。候补项目只在主样本长期无真实任务时启用。</x:v>
      </x:c>
      <x:c r="P2" s="7" t="str">
        <x:v>主样本：两个已接入工作流项目 + 一个未接入观察基线。候补项目只在主样本长期无真实任务时启用。</x:v>
      </x:c>
    </x:row>
    <x:row r="4" ht="30" customHeight="1">
      <x:c r="A4" s="19" t="str">
        <x:v>项目ID</x:v>
      </x:c>
      <x:c r="B4" s="20" t="str">
        <x:v>样本角色</x:v>
      </x:c>
      <x:c r="C4" s="20" t="str">
        <x:v>项目名称</x:v>
      </x:c>
      <x:c r="D4" s="20" t="str">
        <x:v>项目路径</x:v>
      </x:c>
      <x:c r="E4" s="20" t="str">
        <x:v>技术栈</x:v>
      </x:c>
      <x:c r="F4" s="20" t="str">
        <x:v>工作流状态</x:v>
      </x:c>
      <x:c r="G4" s="20" t="str">
        <x:v>当前分支</x:v>
      </x:c>
      <x:c r="H4" s="20" t="str">
        <x:v>最近提交</x:v>
      </x:c>
      <x:c r="I4" s="20" t="str">
        <x:v>近30天提交</x:v>
      </x:c>
      <x:c r="J4" s="20" t="str">
        <x:v>近90天提交</x:v>
      </x:c>
      <x:c r="K4" s="20" t="str">
        <x:v>近90天作者</x:v>
      </x:c>
      <x:c r="L4" s="20" t="str">
        <x:v>工作区改动数</x:v>
      </x:c>
      <x:c r="M4" s="20" t="str">
        <x:v>需求数</x:v>
      </x:c>
      <x:c r="N4" s="20" t="str">
        <x:v>活动变更数</x:v>
      </x:c>
      <x:c r="O4" s="20" t="str">
        <x:v>选择理由</x:v>
      </x:c>
      <x:c r="P4" s="21" t="str">
        <x:v>主要限制</x:v>
      </x:c>
    </x:row>
    <x:row r="5" ht="58" customHeight="1">
      <x:c r="A5" s="29" t="str">
        <x:v>PILOT-01</x:v>
      </x:c>
      <x:c r="B5" s="29" t="str">
        <x:v>主样本·使用组</x:v>
      </x:c>
      <x:c r="C5" s="29" t="str">
        <x:v>ikang-mini-wechat-inspect</x:v>
      </x:c>
      <x:c r="D5" s="29" t="str">
        <x:v>/Users/lvshuai/Desktop/ikang/dytsh/ikang-mini-wechat-inspect</x:v>
      </x:c>
      <x:c r="E5" s="29" t="str">
        <x:v>微信原生小程序 / Vant Weapp</x:v>
      </x:c>
      <x:c r="F5" s="29" t="str">
        <x:v>已接入，当前资料未提交</x:v>
      </x:c>
      <x:c r="G5" s="29" t="str">
        <x:v>develop-2.9.7-去除家人陪诊</x:v>
      </x:c>
      <x:c r="H5" s="51" t="n">
        <x:v>46254</x:v>
      </x:c>
      <x:c r="I5" s="54" t="n">
        <x:v>19</x:v>
      </x:c>
      <x:c r="J5" s="54" t="n">
        <x:v>59</x:v>
      </x:c>
      <x:c r="K5" s="54" t="n">
        <x:v>2</x:v>
      </x:c>
      <x:c r="L5" s="54" t="n">
        <x:v>17</x:v>
      </x:c>
      <x:c r="M5" s="54" t="n">
        <x:v>1</x:v>
      </x:c>
      <x:c r="N5" s="54" t="n">
        <x:v>1</x:v>
      </x:c>
      <x:c r="O5" s="29" t="str">
        <x:v>近期仍有真实提交，且已有跨页面 WebSocket 治理任务，可观察复杂任务的澄清、阻断和验收。</x:v>
      </x:c>
      <x:c r="P5" s="29" t="str">
        <x:v>缺少自动测试链；工作区已有用户改动；历史任务未记录完整时间。</x:v>
      </x:c>
    </x:row>
    <x:row r="6" ht="58" customHeight="1">
      <x:c r="A6" s="30" t="str">
        <x:v>PILOT-02</x:v>
      </x:c>
      <x:c r="B6" s="30" t="str">
        <x:v>主样本·使用组</x:v>
      </x:c>
      <x:c r="C6" s="30" t="str">
        <x:v>ikang-fe-kam</x:v>
      </x:c>
      <x:c r="D6" s="30" t="str">
        <x:v>/Users/lvshuai/Desktop/ikang/dytsh/ikang-fe-kam</x:v>
      </x:c>
      <x:c r="E6" s="30" t="str">
        <x:v>Vue 3 / Vite / Vitest / Element Plus</x:v>
      </x:c>
      <x:c r="F6" s="30" t="str">
        <x:v>已接入，当前资料未提交</x:v>
      </x:c>
      <x:c r="G6" s="30" t="str">
        <x:v>develop-测试agent模版</x:v>
      </x:c>
      <x:c r="H6" s="52" t="n">
        <x:v>46210</x:v>
      </x:c>
      <x:c r="I6" s="55" t="n">
        <x:v>0</x:v>
      </x:c>
      <x:c r="J6" s="55" t="n">
        <x:v>136</x:v>
      </x:c>
      <x:c r="K6" s="55" t="n">
        <x:v>3</x:v>
      </x:c>
      <x:c r="L6" s="55" t="n">
        <x:v>14</x:v>
      </x:c>
      <x:c r="M6" s="55" t="n">
        <x:v>1</x:v>
      </x:c>
      <x:c r="N6" s="55" t="n">
        <x:v>1</x:v>
      </x:c>
      <x:c r="O6" s="30" t="str">
        <x:v>有完整表单需求、聚焦测试和构建证据，适合观察受管功能交付；团队协作样本较丰富。</x:v>
      </x:c>
      <x:c r="P6" s="30" t="str">
        <x:v>近期提交集中在七月；工作区已有用户改动；历史任务时间字段不足。</x:v>
      </x:c>
    </x:row>
    <x:row r="7" ht="58" customHeight="1">
      <x:c r="A7" s="30" t="str">
        <x:v>PILOT-03</x:v>
      </x:c>
      <x:c r="B7" s="30" t="str">
        <x:v>主样本·观察组</x:v>
      </x:c>
      <x:c r="C7" s="30" t="str">
        <x:v>fe-q.ikang.com</x:v>
      </x:c>
      <x:c r="D7" s="30" t="str">
        <x:v>/Users/lvshuai/Desktop/ikang/fe/fe-q.ikang.com</x:v>
      </x:c>
      <x:c r="E7" s="30" t="str">
        <x:v>Vue 3 / Vite / Vitest / TypeScript / Element Plus</x:v>
      </x:c>
      <x:c r="F7" s="30" t="str">
        <x:v>未接入</x:v>
      </x:c>
      <x:c r="G7" s="30" t="str">
        <x:v>develop-1.21.1</x:v>
      </x:c>
      <x:c r="H7" s="52" t="n">
        <x:v>46246</x:v>
      </x:c>
      <x:c r="I7" s="55" t="n">
        <x:v>2</x:v>
      </x:c>
      <x:c r="J7" s="55" t="n">
        <x:v>43</x:v>
      </x:c>
      <x:c r="K7" s="55" t="n">
        <x:v>2</x:v>
      </x:c>
      <x:c r="L7" s="55" t="n">
        <x:v>0</x:v>
      </x:c>
      <x:c r="M7" s="55" t="n">
        <x:v>0</x:v>
      </x:c>
      <x:c r="N7" s="55" t="n">
        <x:v>0</x:v>
      </x:c>
      <x:c r="O7" s="30" t="str">
        <x:v>现代 Vue 技术栈、工作区干净且存在同一开发者近期提交，可作为背景观察基线。</x:v>
      </x:c>
      <x:c r="P7" s="30" t="str">
        <x:v>跨项目比较不能证明因果；没有需求和验收结构化记录，需要人工补录。</x:v>
      </x:c>
    </x:row>
    <x:row r="8" ht="58" customHeight="1">
      <x:c r="A8" s="30" t="str">
        <x:v>RESERVE-01</x:v>
      </x:c>
      <x:c r="B8" s="30" t="str">
        <x:v>候补·使用组</x:v>
      </x:c>
      <x:c r="C8" s="30" t="str">
        <x:v>dyt_examination</x:v>
      </x:c>
      <x:c r="D8" s="30" t="str">
        <x:v>/Users/lvshuai/Desktop/ikang/dytsh/dyt_examination</x:v>
      </x:c>
      <x:c r="E8" s="30" t="str">
        <x:v>Vue 2 / Vue CLI / Vitest / Element UI</x:v>
      </x:c>
      <x:c r="F8" s="30" t="str">
        <x:v>已接入并已提交</x:v>
      </x:c>
      <x:c r="G8" s="30" t="str">
        <x:v>develop-测试agent模版</x:v>
      </x:c>
      <x:c r="H8" s="52" t="n">
        <x:v>46230</x:v>
      </x:c>
      <x:c r="I8" s="55" t="n">
        <x:v>0</x:v>
      </x:c>
      <x:c r="J8" s="55" t="n">
        <x:v>16</x:v>
      </x:c>
      <x:c r="K8" s="55" t="n">
        <x:v>5</x:v>
      </x:c>
      <x:c r="L8" s="55" t="n">
        <x:v>0</x:v>
      </x:c>
      <x:c r="M8" s="55" t="n">
        <x:v>1</x:v>
      </x:c>
      <x:c r="N8" s="55" t="n">
        <x:v>1</x:v>
      </x:c>
      <x:c r="O8" s="30" t="str">
        <x:v>工作区干净，且已有待人工视觉验收任务，可补充旧技术栈观察。</x:v>
      </x:c>
      <x:c r="P8" s="30" t="str">
        <x:v>接入后没有新的业务提交，暂不作为主样本。</x:v>
      </x:c>
    </x:row>
    <x:row r="9" ht="58" customHeight="1">
      <x:c r="A9" s="31" t="str">
        <x:v>RESERVE-02</x:v>
      </x:c>
      <x:c r="B9" s="31" t="str">
        <x:v>候补·观察组</x:v>
      </x:c>
      <x:c r="C9" s="31" t="str">
        <x:v>dyt_miniapp</x:v>
      </x:c>
      <x:c r="D9" s="31" t="str">
        <x:v>/Users/lvshuai/Desktop/ikang/dytsh/dyt_miniapp</x:v>
      </x:c>
      <x:c r="E9" s="31" t="str">
        <x:v>Vue 2 / uni-app</x:v>
      </x:c>
      <x:c r="F9" s="31" t="str">
        <x:v>未接入</x:v>
      </x:c>
      <x:c r="G9" s="31" t="str">
        <x:v>master</x:v>
      </x:c>
      <x:c r="H9" s="53" t="n">
        <x:v>46258</x:v>
      </x:c>
      <x:c r="I9" s="56" t="n">
        <x:v>5</x:v>
      </x:c>
      <x:c r="J9" s="56" t="n">
        <x:v>43</x:v>
      </x:c>
      <x:c r="K9" s="56" t="n">
        <x:v>3</x:v>
      </x:c>
      <x:c r="L9" s="56" t="n">
        <x:v>0</x:v>
      </x:c>
      <x:c r="M9" s="56" t="n">
        <x:v>0</x:v>
      </x:c>
      <x:c r="N9" s="56" t="n">
        <x:v>0</x:v>
      </x:c>
      <x:c r="O9" s="31" t="str">
        <x:v>近期仍有业务提交，适合在主观察组无任务时补充移动端背景。</x:v>
      </x:c>
      <x:c r="P9" s="31" t="str">
        <x:v>主要提交者与使用组不同，直接比较容易受到团队差异干扰。</x:v>
      </x:c>
    </x:row>
  </x:sheetData>
  <x:mergeCells>
    <x:mergeCell ref="A1:P1"/>
    <x:mergeCell ref="A2:P2"/>
  </x:mergeCells>
  <x:conditionalFormatting sqref="B5:B9">
    <x:cfRule type="containsText" dxfId="0" priority="1" operator="containsText" text="主样本"/>
    <x:cfRule type="containsText" dxfId="1" priority="2" operator="containsText" text="候补"/>
  </x:conditionalFormatting>
  <x:pageMargins left="0.7" right="0.7" top="0.75" bottom="0.75" header="0.3" footer="0.3"/>
  <x:tableParts count="1">
    <x:tablePart xmlns:r="http://schemas.openxmlformats.org/officeDocument/2006/relationships" r:id="R5c13a63180704b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9" hidden="0" customWidth="1"/>
    <x:col min="4" max="4" width="14" hidden="0" customWidth="1"/>
    <x:col min="5" max="5" width="16" hidden="0" customWidth="1"/>
    <x:col min="6" max="6" width="11" hidden="0" customWidth="1"/>
    <x:col min="7" max="7" width="14" hidden="0" customWidth="1"/>
    <x:col min="8" max="8" width="19" hidden="0" customWidth="1"/>
    <x:col min="9" max="9" width="19" hidden="0" customWidth="1"/>
    <x:col min="10" max="10" width="19" hidden="0" customWidth="1"/>
    <x:col min="11" max="11" width="11" hidden="0" customWidth="1"/>
    <x:col min="12" max="12" width="11" hidden="0" customWidth="1"/>
    <x:col min="13" max="13" width="11" hidden="0" customWidth="1"/>
    <x:col min="14" max="14" width="13" hidden="0" customWidth="1"/>
    <x:col min="15" max="15" width="15" hidden="0" customWidth="1"/>
    <x:col min="16" max="16" width="16" hidden="0" customWidth="1"/>
    <x:col min="17" max="17" width="46" hidden="0" customWidth="1"/>
    <x:col min="18" max="18" width="52" hidden="0" customWidth="1"/>
    <x:col min="19" max="19" width="21" hidden="0" customWidth="1"/>
    <x:col min="20" max="20" width="18" hidden="0" customWidth="1"/>
    <x:col min="21" max="21" width="14" hidden="0" customWidth="1"/>
    <x:col min="22" max="22" width="13" hidden="0" customWidth="1"/>
    <x:col min="23" max="23" width="28" hidden="0" customWidth="1"/>
  </x:cols>
  <x:sheetData>
    <x:row r="1" ht="34" customHeight="1">
      <x:c r="A1" s="3" t="str">
        <x:v>真实开发任务记录</x:v>
      </x:c>
      <x:c r="B1" s="3" t="str">
        <x:v>真实开发任务记录</x:v>
      </x:c>
      <x:c r="C1" s="3" t="str">
        <x:v>真实开发任务记录</x:v>
      </x:c>
      <x:c r="D1" s="3" t="str">
        <x:v>真实开发任务记录</x:v>
      </x:c>
      <x:c r="E1" s="3" t="str">
        <x:v>真实开发任务记录</x:v>
      </x:c>
      <x:c r="F1" s="3" t="str">
        <x:v>真实开发任务记录</x:v>
      </x:c>
      <x:c r="G1" s="3" t="str">
        <x:v>真实开发任务记录</x:v>
      </x:c>
      <x:c r="H1" s="3" t="str">
        <x:v>真实开发任务记录</x:v>
      </x:c>
      <x:c r="I1" s="3" t="str">
        <x:v>真实开发任务记录</x:v>
      </x:c>
      <x:c r="J1" s="3" t="str">
        <x:v>真实开发任务记录</x:v>
      </x:c>
      <x:c r="K1" s="3" t="str">
        <x:v>真实开发任务记录</x:v>
      </x:c>
      <x:c r="L1" s="3" t="str">
        <x:v>真实开发任务记录</x:v>
      </x:c>
      <x:c r="M1" s="3" t="str">
        <x:v>真实开发任务记录</x:v>
      </x:c>
      <x:c r="N1" s="3" t="str">
        <x:v>真实开发任务记录</x:v>
      </x:c>
      <x:c r="O1" s="3" t="str">
        <x:v>真实开发任务记录</x:v>
      </x:c>
      <x:c r="P1" s="3" t="str">
        <x:v>真实开发任务记录</x:v>
      </x:c>
      <x:c r="Q1" s="3" t="str">
        <x:v>真实开发任务记录</x:v>
      </x:c>
      <x:c r="R1" s="3" t="str">
        <x:v>真实开发任务记录</x:v>
      </x:c>
      <x:c r="S1" s="3" t="str">
        <x:v>真实开发任务记录</x:v>
      </x:c>
      <x:c r="T1" s="3" t="str">
        <x:v>真实开发任务记录</x:v>
      </x:c>
      <x:c r="U1" s="3" t="str">
        <x:v>真实开发任务记录</x:v>
      </x:c>
      <x:c r="V1" s="3" t="str">
        <x:v>真实开发任务记录</x:v>
      </x:c>
      <x:c r="W1" s="3" t="str">
        <x:v>真实开发任务记录</x:v>
      </x:c>
    </x:row>
    <x:row r="2" ht="32" customHeight="1">
      <x:c r="A2" s="7" t="str">
        <x:v>黄色列由任务执行者在事实发生时填写；历史未知值保持为空。蓝色列自动计算，只有“有效样本=是”的任务进入看板。</x:v>
      </x:c>
      <x:c r="B2" s="7" t="str">
        <x:v>黄色列由任务执行者在事实发生时填写；历史未知值保持为空。蓝色列自动计算，只有“有效样本=是”的任务进入看板。</x:v>
      </x:c>
      <x:c r="C2" s="7" t="str">
        <x:v>黄色列由任务执行者在事实发生时填写；历史未知值保持为空。蓝色列自动计算，只有“有效样本=是”的任务进入看板。</x:v>
      </x:c>
      <x:c r="D2" s="7" t="str">
        <x:v>黄色列由任务执行者在事实发生时填写；历史未知值保持为空。蓝色列自动计算，只有“有效样本=是”的任务进入看板。</x:v>
      </x:c>
      <x:c r="E2" s="7" t="str">
        <x:v>黄色列由任务执行者在事实发生时填写；历史未知值保持为空。蓝色列自动计算，只有“有效样本=是”的任务进入看板。</x:v>
      </x:c>
      <x:c r="F2" s="7" t="str">
        <x:v>黄色列由任务执行者在事实发生时填写；历史未知值保持为空。蓝色列自动计算，只有“有效样本=是”的任务进入看板。</x:v>
      </x:c>
      <x:c r="G2" s="7" t="str">
        <x:v>黄色列由任务执行者在事实发生时填写；历史未知值保持为空。蓝色列自动计算，只有“有效样本=是”的任务进入看板。</x:v>
      </x:c>
      <x:c r="H2" s="7" t="str">
        <x:v>黄色列由任务执行者在事实发生时填写；历史未知值保持为空。蓝色列自动计算，只有“有效样本=是”的任务进入看板。</x:v>
      </x:c>
      <x:c r="I2" s="7" t="str">
        <x:v>黄色列由任务执行者在事实发生时填写；历史未知值保持为空。蓝色列自动计算，只有“有效样本=是”的任务进入看板。</x:v>
      </x:c>
      <x:c r="J2" s="7" t="str">
        <x:v>黄色列由任务执行者在事实发生时填写；历史未知值保持为空。蓝色列自动计算，只有“有效样本=是”的任务进入看板。</x:v>
      </x:c>
      <x:c r="K2" s="7" t="str">
        <x:v>黄色列由任务执行者在事实发生时填写；历史未知值保持为空。蓝色列自动计算，只有“有效样本=是”的任务进入看板。</x:v>
      </x:c>
      <x:c r="L2" s="7" t="str">
        <x:v>黄色列由任务执行者在事实发生时填写；历史未知值保持为空。蓝色列自动计算，只有“有效样本=是”的任务进入看板。</x:v>
      </x:c>
      <x:c r="M2" s="7" t="str">
        <x:v>黄色列由任务执行者在事实发生时填写；历史未知值保持为空。蓝色列自动计算，只有“有效样本=是”的任务进入看板。</x:v>
      </x:c>
      <x:c r="N2" s="7" t="str">
        <x:v>黄色列由任务执行者在事实发生时填写；历史未知值保持为空。蓝色列自动计算，只有“有效样本=是”的任务进入看板。</x:v>
      </x:c>
      <x:c r="O2" s="7" t="str">
        <x:v>黄色列由任务执行者在事实发生时填写；历史未知值保持为空。蓝色列自动计算，只有“有效样本=是”的任务进入看板。</x:v>
      </x:c>
      <x:c r="P2" s="7" t="str">
        <x:v>黄色列由任务执行者在事实发生时填写；历史未知值保持为空。蓝色列自动计算，只有“有效样本=是”的任务进入看板。</x:v>
      </x:c>
      <x:c r="Q2" s="7" t="str">
        <x:v>黄色列由任务执行者在事实发生时填写；历史未知值保持为空。蓝色列自动计算，只有“有效样本=是”的任务进入看板。</x:v>
      </x:c>
      <x:c r="R2" s="7" t="str">
        <x:v>黄色列由任务执行者在事实发生时填写；历史未知值保持为空。蓝色列自动计算，只有“有效样本=是”的任务进入看板。</x:v>
      </x:c>
      <x:c r="S2" s="7" t="str">
        <x:v>黄色列由任务执行者在事实发生时填写；历史未知值保持为空。蓝色列自动计算，只有“有效样本=是”的任务进入看板。</x:v>
      </x:c>
      <x:c r="T2" s="7" t="str">
        <x:v>黄色列由任务执行者在事实发生时填写；历史未知值保持为空。蓝色列自动计算，只有“有效样本=是”的任务进入看板。</x:v>
      </x:c>
      <x:c r="U2" s="7" t="str">
        <x:v>黄色列由任务执行者在事实发生时填写；历史未知值保持为空。蓝色列自动计算，只有“有效样本=是”的任务进入看板。</x:v>
      </x:c>
      <x:c r="V2" s="7" t="str">
        <x:v>黄色列由任务执行者在事实发生时填写；历史未知值保持为空。蓝色列自动计算，只有“有效样本=是”的任务进入看板。</x:v>
      </x:c>
      <x:c r="W2" s="7" t="str">
        <x:v>黄色列由任务执行者在事实发生时填写；历史未知值保持为空。蓝色列自动计算，只有“有效样本=是”的任务进入看板。</x:v>
      </x:c>
    </x:row>
    <x:row r="4" ht="30" customHeight="1">
      <x:c r="A4" s="19" t="str">
        <x:v>任务ID</x:v>
      </x:c>
      <x:c r="B4" s="20" t="str">
        <x:v>项目ID</x:v>
      </x:c>
      <x:c r="C4" s="20" t="str">
        <x:v>项目名称</x:v>
      </x:c>
      <x:c r="D4" s="20" t="str">
        <x:v>样本角色</x:v>
      </x:c>
      <x:c r="E4" s="20" t="str">
        <x:v>工作流路线</x:v>
      </x:c>
      <x:c r="F4" s="20" t="str">
        <x:v>复杂度</x:v>
      </x:c>
      <x:c r="G4" s="20" t="str">
        <x:v>任务类型</x:v>
      </x:c>
      <x:c r="H4" s="20" t="str">
        <x:v>开始时间</x:v>
      </x:c>
      <x:c r="I4" s="20" t="str">
        <x:v>首次交付时间</x:v>
      </x:c>
      <x:c r="J4" s="20" t="str">
        <x:v>最终验收时间</x:v>
      </x:c>
      <x:c r="K4" s="20" t="str">
        <x:v>澄清次数</x:v>
      </x:c>
      <x:c r="L4" s="20" t="str">
        <x:v>返工次数</x:v>
      </x:c>
      <x:c r="M4" s="20" t="str">
        <x:v>阻断次数</x:v>
      </x:c>
      <x:c r="N4" s="20" t="str">
        <x:v>误阻断次数</x:v>
      </x:c>
      <x:c r="O4" s="20" t="str">
        <x:v>一次验收通过</x:v>
      </x:c>
      <x:c r="P4" s="20" t="str">
        <x:v>最终状态</x:v>
      </x:c>
      <x:c r="Q4" s="20" t="str">
        <x:v>证据位置</x:v>
      </x:c>
      <x:c r="R4" s="20" t="str">
        <x:v>备注</x:v>
      </x:c>
      <x:c r="S4" s="20" t="str">
        <x:v>首次交付时长(小时)</x:v>
      </x:c>
      <x:c r="T4" s="20" t="str">
        <x:v>总周期(小时)</x:v>
      </x:c>
      <x:c r="U4" s="20" t="str">
        <x:v>误阻断率</x:v>
      </x:c>
      <x:c r="V4" s="20" t="str">
        <x:v>有效样本</x:v>
      </x:c>
      <x:c r="W4" s="21" t="str">
        <x:v>数据质量说明</x:v>
      </x:c>
    </x:row>
    <x:row r="5" ht="36" customHeight="1">
      <x:c r="A5" s="64" t="str">
        <x:v>HIST-001</x:v>
      </x:c>
      <x:c r="B5" s="64" t="str">
        <x:v>PILOT-01</x:v>
      </x:c>
      <x:c r="C5" s="64" t="str">
        <x:v>ikang-mini-wechat-inspect</x:v>
      </x:c>
      <x:c r="D5" s="64" t="str">
        <x:v>使用组</x:v>
      </x:c>
      <x:c r="E5" s="64" t="str">
        <x:v>完整通道</x:v>
      </x:c>
      <x:c r="F5" s="64" t="str">
        <x:v>大型</x:v>
      </x:c>
      <x:c r="G5" s="64" t="str">
        <x:v>缺陷治理</x:v>
      </x:c>
      <x:c r="H5" s="74"/>
      <x:c r="I5" s="74"/>
      <x:c r="J5" s="74"/>
      <x:c r="K5" s="77"/>
      <x:c r="L5" s="77"/>
      <x:c r="M5" s="77"/>
      <x:c r="N5" s="77"/>
      <x:c r="O5" s="64"/>
      <x:c r="P5" s="64" t="str">
        <x:v>待验证</x:v>
      </x:c>
      <x:c r="Q5" s="64" t="str">
        <x:v>requirements/REQ-2026-001-websocket-request-storm.md</x:v>
      </x:c>
      <x:c r="R5" s="64" t="str">
        <x:v>2026-08-06 已有需求与自动验证记录，但真实微信环境验收受登录阻断；完整耗时、澄清和返工无法可靠回溯。</x:v>
      </x:c>
      <x:c r="S5" s="80" t="str">
        <x:f>IF(OR(H5="",I5=""),"",'指标定义'!$I$3*(I5-H5))</x:f>
      </x:c>
      <x:c r="T5" s="80" t="str">
        <x:f>IF(OR(H5="",J5=""),"",'指标定义'!$I$3*(J5-H5))</x:f>
      </x:c>
      <x:c r="U5" s="83" t="str">
        <x:f>IF(M5="","",IF(M5=0,0,N5/M5))</x:f>
      </x:c>
      <x:c r="V5" s="71" t="str">
        <x:f>IF(AND(A5&lt;&gt;"",H5&lt;&gt;"",I5&lt;&gt;"",J5&lt;&gt;"",K5&lt;&gt;"",L5&lt;&gt;"",M5&lt;&gt;"",N5&lt;&gt;"",O5&lt;&gt;"",P5="已验收"),"是","否")</x:f>
        <x:v>否</x:v>
      </x:c>
      <x:c r="W5" s="71" t="str">
        <x:f>IF(A5="","",IF(V5="是","完整","缺少必填指标或未验收"))</x:f>
        <x:v>缺少必填指标或未验收</x:v>
      </x:c>
    </x:row>
    <x:row r="6" ht="36" customHeight="1">
      <x:c r="A6" s="65" t="str">
        <x:v>HIST-002</x:v>
      </x:c>
      <x:c r="B6" s="65" t="str">
        <x:v>PILOT-02</x:v>
      </x:c>
      <x:c r="C6" s="65" t="str">
        <x:v>ikang-fe-kam</x:v>
      </x:c>
      <x:c r="D6" s="65" t="str">
        <x:v>使用组</x:v>
      </x:c>
      <x:c r="E6" s="65" t="str">
        <x:v>完整通道</x:v>
      </x:c>
      <x:c r="F6" s="65" t="str">
        <x:v>中型</x:v>
      </x:c>
      <x:c r="G6" s="65" t="str">
        <x:v>功能</x:v>
      </x:c>
      <x:c r="H6" s="75"/>
      <x:c r="I6" s="75"/>
      <x:c r="J6" s="75"/>
      <x:c r="K6" s="78"/>
      <x:c r="L6" s="78"/>
      <x:c r="M6" s="78"/>
      <x:c r="N6" s="78"/>
      <x:c r="O6" s="65"/>
      <x:c r="P6" s="65" t="str">
        <x:v>已验证未归档</x:v>
      </x:c>
      <x:c r="Q6" s="65" t="str">
        <x:v>requirements/REQ-2026-001-information-collection.md</x:v>
      </x:c>
      <x:c r="R6" s="65" t="str">
        <x:v>验收、7项聚焦测试和生产构建已有记录；开始、首次交付、最终验收时间及对话次数未结构化保存。</x:v>
      </x:c>
      <x:c r="S6" s="81" t="str">
        <x:f>IF(OR(H6="",I6=""),"",'指标定义'!$I$3*(I6-H6))</x:f>
      </x:c>
      <x:c r="T6" s="81" t="str">
        <x:f>IF(OR(H6="",J6=""),"",'指标定义'!$I$3*(J6-H6))</x:f>
      </x:c>
      <x:c r="U6" s="84" t="str">
        <x:f>IF(M6="","",IF(M6=0,0,N6/M6))</x:f>
      </x:c>
      <x:c r="V6" s="72" t="str">
        <x:f>IF(AND(A6&lt;&gt;"",H6&lt;&gt;"",I6&lt;&gt;"",J6&lt;&gt;"",K6&lt;&gt;"",L6&lt;&gt;"",M6&lt;&gt;"",N6&lt;&gt;"",O6&lt;&gt;"",P6="已验收"),"是","否")</x:f>
        <x:v>否</x:v>
      </x:c>
      <x:c r="W6" s="72" t="str">
        <x:f>IF(A6="","",IF(V6="是","完整","缺少必填指标或未验收"))</x:f>
        <x:v>缺少必填指标或未验收</x:v>
      </x:c>
    </x:row>
    <x:row r="7" ht="36" customHeight="1">
      <x:c r="A7" s="65"/>
      <x:c r="B7" s="65"/>
      <x:c r="C7" s="65"/>
      <x:c r="D7" s="65"/>
      <x:c r="E7" s="65"/>
      <x:c r="F7" s="65"/>
      <x:c r="G7" s="65"/>
      <x:c r="H7" s="75"/>
      <x:c r="I7" s="75"/>
      <x:c r="J7" s="75"/>
      <x:c r="K7" s="78"/>
      <x:c r="L7" s="78"/>
      <x:c r="M7" s="78"/>
      <x:c r="N7" s="78"/>
      <x:c r="O7" s="65"/>
      <x:c r="P7" s="65"/>
      <x:c r="Q7" s="65"/>
      <x:c r="R7" s="65"/>
      <x:c r="S7" s="81" t="str">
        <x:f>IF(OR(H7="",I7=""),"",'指标定义'!$I$3*(I7-H7))</x:f>
      </x:c>
      <x:c r="T7" s="81" t="str">
        <x:f>IF(OR(H7="",J7=""),"",'指标定义'!$I$3*(J7-H7))</x:f>
      </x:c>
      <x:c r="U7" s="84" t="str">
        <x:f>IF(M7="","",IF(M7=0,0,N7/M7))</x:f>
      </x:c>
      <x:c r="V7" s="72" t="str">
        <x:f>IF(AND(A7&lt;&gt;"",H7&lt;&gt;"",I7&lt;&gt;"",J7&lt;&gt;"",K7&lt;&gt;"",L7&lt;&gt;"",M7&lt;&gt;"",N7&lt;&gt;"",O7&lt;&gt;"",P7="已验收"),"是","否")</x:f>
        <x:v>否</x:v>
      </x:c>
      <x:c r="W7" s="72" t="str">
        <x:f>IF(A7="","",IF(V7="是","完整","缺少必填指标或未验收"))</x:f>
      </x:c>
    </x:row>
    <x:row r="8" ht="36" customHeight="1">
      <x:c r="A8" s="65"/>
      <x:c r="B8" s="65"/>
      <x:c r="C8" s="65"/>
      <x:c r="D8" s="65"/>
      <x:c r="E8" s="65"/>
      <x:c r="F8" s="65"/>
      <x:c r="G8" s="65"/>
      <x:c r="H8" s="75"/>
      <x:c r="I8" s="75"/>
      <x:c r="J8" s="75"/>
      <x:c r="K8" s="78"/>
      <x:c r="L8" s="78"/>
      <x:c r="M8" s="78"/>
      <x:c r="N8" s="78"/>
      <x:c r="O8" s="65"/>
      <x:c r="P8" s="65"/>
      <x:c r="Q8" s="65"/>
      <x:c r="R8" s="65"/>
      <x:c r="S8" s="81" t="str">
        <x:f>IF(OR(H8="",I8=""),"",'指标定义'!$I$3*(I8-H8))</x:f>
      </x:c>
      <x:c r="T8" s="81" t="str">
        <x:f>IF(OR(H8="",J8=""),"",'指标定义'!$I$3*(J8-H8))</x:f>
      </x:c>
      <x:c r="U8" s="84" t="str">
        <x:f>IF(M8="","",IF(M8=0,0,N8/M8))</x:f>
      </x:c>
      <x:c r="V8" s="72" t="str">
        <x:f>IF(AND(A8&lt;&gt;"",H8&lt;&gt;"",I8&lt;&gt;"",J8&lt;&gt;"",K8&lt;&gt;"",L8&lt;&gt;"",M8&lt;&gt;"",N8&lt;&gt;"",O8&lt;&gt;"",P8="已验收"),"是","否")</x:f>
        <x:v>否</x:v>
      </x:c>
      <x:c r="W8" s="72" t="str">
        <x:f>IF(A8="","",IF(V8="是","完整","缺少必填指标或未验收"))</x:f>
      </x:c>
    </x:row>
    <x:row r="9" ht="36" customHeight="1">
      <x:c r="A9" s="65"/>
      <x:c r="B9" s="65"/>
      <x:c r="C9" s="65"/>
      <x:c r="D9" s="65"/>
      <x:c r="E9" s="65"/>
      <x:c r="F9" s="65"/>
      <x:c r="G9" s="65"/>
      <x:c r="H9" s="75"/>
      <x:c r="I9" s="75"/>
      <x:c r="J9" s="75"/>
      <x:c r="K9" s="78"/>
      <x:c r="L9" s="78"/>
      <x:c r="M9" s="78"/>
      <x:c r="N9" s="78"/>
      <x:c r="O9" s="65"/>
      <x:c r="P9" s="65"/>
      <x:c r="Q9" s="65"/>
      <x:c r="R9" s="65"/>
      <x:c r="S9" s="81" t="str">
        <x:f>IF(OR(H9="",I9=""),"",'指标定义'!$I$3*(I9-H9))</x:f>
      </x:c>
      <x:c r="T9" s="81" t="str">
        <x:f>IF(OR(H9="",J9=""),"",'指标定义'!$I$3*(J9-H9))</x:f>
      </x:c>
      <x:c r="U9" s="84" t="str">
        <x:f>IF(M9="","",IF(M9=0,0,N9/M9))</x:f>
      </x:c>
      <x:c r="V9" s="72" t="str">
        <x:f>IF(AND(A9&lt;&gt;"",H9&lt;&gt;"",I9&lt;&gt;"",J9&lt;&gt;"",K9&lt;&gt;"",L9&lt;&gt;"",M9&lt;&gt;"",N9&lt;&gt;"",O9&lt;&gt;"",P9="已验收"),"是","否")</x:f>
        <x:v>否</x:v>
      </x:c>
      <x:c r="W9" s="72" t="str">
        <x:f>IF(A9="","",IF(V9="是","完整","缺少必填指标或未验收"))</x:f>
      </x:c>
    </x:row>
    <x:row r="10" ht="36" customHeight="1">
      <x:c r="A10" s="65"/>
      <x:c r="B10" s="65"/>
      <x:c r="C10" s="65"/>
      <x:c r="D10" s="65"/>
      <x:c r="E10" s="65"/>
      <x:c r="F10" s="65"/>
      <x:c r="G10" s="65"/>
      <x:c r="H10" s="75"/>
      <x:c r="I10" s="75"/>
      <x:c r="J10" s="75"/>
      <x:c r="K10" s="78"/>
      <x:c r="L10" s="78"/>
      <x:c r="M10" s="78"/>
      <x:c r="N10" s="78"/>
      <x:c r="O10" s="65"/>
      <x:c r="P10" s="65"/>
      <x:c r="Q10" s="65"/>
      <x:c r="R10" s="65"/>
      <x:c r="S10" s="81" t="str">
        <x:f>IF(OR(H10="",I10=""),"",'指标定义'!$I$3*(I10-H10))</x:f>
      </x:c>
      <x:c r="T10" s="81" t="str">
        <x:f>IF(OR(H10="",J10=""),"",'指标定义'!$I$3*(J10-H10))</x:f>
      </x:c>
      <x:c r="U10" s="84" t="str">
        <x:f>IF(M10="","",IF(M10=0,0,N10/M10))</x:f>
      </x:c>
      <x:c r="V10" s="72" t="str">
        <x:f>IF(AND(A10&lt;&gt;"",H10&lt;&gt;"",I10&lt;&gt;"",J10&lt;&gt;"",K10&lt;&gt;"",L10&lt;&gt;"",M10&lt;&gt;"",N10&lt;&gt;"",O10&lt;&gt;"",P10="已验收"),"是","否")</x:f>
        <x:v>否</x:v>
      </x:c>
      <x:c r="W10" s="72" t="str">
        <x:f>IF(A10="","",IF(V10="是","完整","缺少必填指标或未验收"))</x:f>
      </x:c>
    </x:row>
    <x:row r="11" ht="36" customHeight="1">
      <x:c r="A11" s="65"/>
      <x:c r="B11" s="65"/>
      <x:c r="C11" s="65"/>
      <x:c r="D11" s="65"/>
      <x:c r="E11" s="65"/>
      <x:c r="F11" s="65"/>
      <x:c r="G11" s="65"/>
      <x:c r="H11" s="75"/>
      <x:c r="I11" s="75"/>
      <x:c r="J11" s="75"/>
      <x:c r="K11" s="78"/>
      <x:c r="L11" s="78"/>
      <x:c r="M11" s="78"/>
      <x:c r="N11" s="78"/>
      <x:c r="O11" s="65"/>
      <x:c r="P11" s="65"/>
      <x:c r="Q11" s="65"/>
      <x:c r="R11" s="65"/>
      <x:c r="S11" s="81" t="str">
        <x:f>IF(OR(H11="",I11=""),"",'指标定义'!$I$3*(I11-H11))</x:f>
      </x:c>
      <x:c r="T11" s="81" t="str">
        <x:f>IF(OR(H11="",J11=""),"",'指标定义'!$I$3*(J11-H11))</x:f>
      </x:c>
      <x:c r="U11" s="84" t="str">
        <x:f>IF(M11="","",IF(M11=0,0,N11/M11))</x:f>
      </x:c>
      <x:c r="V11" s="72" t="str">
        <x:f>IF(AND(A11&lt;&gt;"",H11&lt;&gt;"",I11&lt;&gt;"",J11&lt;&gt;"",K11&lt;&gt;"",L11&lt;&gt;"",M11&lt;&gt;"",N11&lt;&gt;"",O11&lt;&gt;"",P11="已验收"),"是","否")</x:f>
        <x:v>否</x:v>
      </x:c>
      <x:c r="W11" s="72" t="str">
        <x:f>IF(A11="","",IF(V11="是","完整","缺少必填指标或未验收"))</x:f>
      </x:c>
    </x:row>
    <x:row r="12" ht="36" customHeight="1">
      <x:c r="A12" s="65"/>
      <x:c r="B12" s="65"/>
      <x:c r="C12" s="65"/>
      <x:c r="D12" s="65"/>
      <x:c r="E12" s="65"/>
      <x:c r="F12" s="65"/>
      <x:c r="G12" s="65"/>
      <x:c r="H12" s="75"/>
      <x:c r="I12" s="75"/>
      <x:c r="J12" s="75"/>
      <x:c r="K12" s="78"/>
      <x:c r="L12" s="78"/>
      <x:c r="M12" s="78"/>
      <x:c r="N12" s="78"/>
      <x:c r="O12" s="65"/>
      <x:c r="P12" s="65"/>
      <x:c r="Q12" s="65"/>
      <x:c r="R12" s="65"/>
      <x:c r="S12" s="81" t="str">
        <x:f>IF(OR(H12="",I12=""),"",'指标定义'!$I$3*(I12-H12))</x:f>
      </x:c>
      <x:c r="T12" s="81" t="str">
        <x:f>IF(OR(H12="",J12=""),"",'指标定义'!$I$3*(J12-H12))</x:f>
      </x:c>
      <x:c r="U12" s="84" t="str">
        <x:f>IF(M12="","",IF(M12=0,0,N12/M12))</x:f>
      </x:c>
      <x:c r="V12" s="72" t="str">
        <x:f>IF(AND(A12&lt;&gt;"",H12&lt;&gt;"",I12&lt;&gt;"",J12&lt;&gt;"",K12&lt;&gt;"",L12&lt;&gt;"",M12&lt;&gt;"",N12&lt;&gt;"",O12&lt;&gt;"",P12="已验收"),"是","否")</x:f>
        <x:v>否</x:v>
      </x:c>
      <x:c r="W12" s="72" t="str">
        <x:f>IF(A12="","",IF(V12="是","完整","缺少必填指标或未验收"))</x:f>
      </x:c>
    </x:row>
    <x:row r="13" ht="36" customHeight="1">
      <x:c r="A13" s="65"/>
      <x:c r="B13" s="65"/>
      <x:c r="C13" s="65"/>
      <x:c r="D13" s="65"/>
      <x:c r="E13" s="65"/>
      <x:c r="F13" s="65"/>
      <x:c r="G13" s="65"/>
      <x:c r="H13" s="75"/>
      <x:c r="I13" s="75"/>
      <x:c r="J13" s="75"/>
      <x:c r="K13" s="78"/>
      <x:c r="L13" s="78"/>
      <x:c r="M13" s="78"/>
      <x:c r="N13" s="78"/>
      <x:c r="O13" s="65"/>
      <x:c r="P13" s="65"/>
      <x:c r="Q13" s="65"/>
      <x:c r="R13" s="65"/>
      <x:c r="S13" s="81" t="str">
        <x:f>IF(OR(H13="",I13=""),"",'指标定义'!$I$3*(I13-H13))</x:f>
      </x:c>
      <x:c r="T13" s="81" t="str">
        <x:f>IF(OR(H13="",J13=""),"",'指标定义'!$I$3*(J13-H13))</x:f>
      </x:c>
      <x:c r="U13" s="84" t="str">
        <x:f>IF(M13="","",IF(M13=0,0,N13/M13))</x:f>
      </x:c>
      <x:c r="V13" s="72" t="str">
        <x:f>IF(AND(A13&lt;&gt;"",H13&lt;&gt;"",I13&lt;&gt;"",J13&lt;&gt;"",K13&lt;&gt;"",L13&lt;&gt;"",M13&lt;&gt;"",N13&lt;&gt;"",O13&lt;&gt;"",P13="已验收"),"是","否")</x:f>
        <x:v>否</x:v>
      </x:c>
      <x:c r="W13" s="72" t="str">
        <x:f>IF(A13="","",IF(V13="是","完整","缺少必填指标或未验收"))</x:f>
      </x:c>
    </x:row>
    <x:row r="14" ht="36" customHeight="1">
      <x:c r="A14" s="65"/>
      <x:c r="B14" s="65"/>
      <x:c r="C14" s="65"/>
      <x:c r="D14" s="65"/>
      <x:c r="E14" s="65"/>
      <x:c r="F14" s="65"/>
      <x:c r="G14" s="65"/>
      <x:c r="H14" s="75"/>
      <x:c r="I14" s="75"/>
      <x:c r="J14" s="75"/>
      <x:c r="K14" s="78"/>
      <x:c r="L14" s="78"/>
      <x:c r="M14" s="78"/>
      <x:c r="N14" s="78"/>
      <x:c r="O14" s="65"/>
      <x:c r="P14" s="65"/>
      <x:c r="Q14" s="65"/>
      <x:c r="R14" s="65"/>
      <x:c r="S14" s="81" t="str">
        <x:f>IF(OR(H14="",I14=""),"",'指标定义'!$I$3*(I14-H14))</x:f>
      </x:c>
      <x:c r="T14" s="81" t="str">
        <x:f>IF(OR(H14="",J14=""),"",'指标定义'!$I$3*(J14-H14))</x:f>
      </x:c>
      <x:c r="U14" s="84" t="str">
        <x:f>IF(M14="","",IF(M14=0,0,N14/M14))</x:f>
      </x:c>
      <x:c r="V14" s="72" t="str">
        <x:f>IF(AND(A14&lt;&gt;"",H14&lt;&gt;"",I14&lt;&gt;"",J14&lt;&gt;"",K14&lt;&gt;"",L14&lt;&gt;"",M14&lt;&gt;"",N14&lt;&gt;"",O14&lt;&gt;"",P14="已验收"),"是","否")</x:f>
        <x:v>否</x:v>
      </x:c>
      <x:c r="W14" s="72" t="str">
        <x:f>IF(A14="","",IF(V14="是","完整","缺少必填指标或未验收"))</x:f>
      </x:c>
    </x:row>
    <x:row r="15" ht="36" customHeight="1">
      <x:c r="A15" s="65"/>
      <x:c r="B15" s="65"/>
      <x:c r="C15" s="65"/>
      <x:c r="D15" s="65"/>
      <x:c r="E15" s="65"/>
      <x:c r="F15" s="65"/>
      <x:c r="G15" s="65"/>
      <x:c r="H15" s="75"/>
      <x:c r="I15" s="75"/>
      <x:c r="J15" s="75"/>
      <x:c r="K15" s="78"/>
      <x:c r="L15" s="78"/>
      <x:c r="M15" s="78"/>
      <x:c r="N15" s="78"/>
      <x:c r="O15" s="65"/>
      <x:c r="P15" s="65"/>
      <x:c r="Q15" s="65"/>
      <x:c r="R15" s="65"/>
      <x:c r="S15" s="81" t="str">
        <x:f>IF(OR(H15="",I15=""),"",'指标定义'!$I$3*(I15-H15))</x:f>
      </x:c>
      <x:c r="T15" s="81" t="str">
        <x:f>IF(OR(H15="",J15=""),"",'指标定义'!$I$3*(J15-H15))</x:f>
      </x:c>
      <x:c r="U15" s="84" t="str">
        <x:f>IF(M15="","",IF(M15=0,0,N15/M15))</x:f>
      </x:c>
      <x:c r="V15" s="72" t="str">
        <x:f>IF(AND(A15&lt;&gt;"",H15&lt;&gt;"",I15&lt;&gt;"",J15&lt;&gt;"",K15&lt;&gt;"",L15&lt;&gt;"",M15&lt;&gt;"",N15&lt;&gt;"",O15&lt;&gt;"",P15="已验收"),"是","否")</x:f>
        <x:v>否</x:v>
      </x:c>
      <x:c r="W15" s="72" t="str">
        <x:f>IF(A15="","",IF(V15="是","完整","缺少必填指标或未验收"))</x:f>
      </x:c>
    </x:row>
    <x:row r="16" ht="36" customHeight="1">
      <x:c r="A16" s="65"/>
      <x:c r="B16" s="65"/>
      <x:c r="C16" s="65"/>
      <x:c r="D16" s="65"/>
      <x:c r="E16" s="65"/>
      <x:c r="F16" s="65"/>
      <x:c r="G16" s="65"/>
      <x:c r="H16" s="75"/>
      <x:c r="I16" s="75"/>
      <x:c r="J16" s="75"/>
      <x:c r="K16" s="78"/>
      <x:c r="L16" s="78"/>
      <x:c r="M16" s="78"/>
      <x:c r="N16" s="78"/>
      <x:c r="O16" s="65"/>
      <x:c r="P16" s="65"/>
      <x:c r="Q16" s="65"/>
      <x:c r="R16" s="65"/>
      <x:c r="S16" s="81" t="str">
        <x:f>IF(OR(H16="",I16=""),"",'指标定义'!$I$3*(I16-H16))</x:f>
      </x:c>
      <x:c r="T16" s="81" t="str">
        <x:f>IF(OR(H16="",J16=""),"",'指标定义'!$I$3*(J16-H16))</x:f>
      </x:c>
      <x:c r="U16" s="84" t="str">
        <x:f>IF(M16="","",IF(M16=0,0,N16/M16))</x:f>
      </x:c>
      <x:c r="V16" s="72" t="str">
        <x:f>IF(AND(A16&lt;&gt;"",H16&lt;&gt;"",I16&lt;&gt;"",J16&lt;&gt;"",K16&lt;&gt;"",L16&lt;&gt;"",M16&lt;&gt;"",N16&lt;&gt;"",O16&lt;&gt;"",P16="已验收"),"是","否")</x:f>
        <x:v>否</x:v>
      </x:c>
      <x:c r="W16" s="72" t="str">
        <x:f>IF(A16="","",IF(V16="是","完整","缺少必填指标或未验收"))</x:f>
      </x:c>
    </x:row>
    <x:row r="17" ht="36" customHeight="1">
      <x:c r="A17" s="65"/>
      <x:c r="B17" s="65"/>
      <x:c r="C17" s="65"/>
      <x:c r="D17" s="65"/>
      <x:c r="E17" s="65"/>
      <x:c r="F17" s="65"/>
      <x:c r="G17" s="65"/>
      <x:c r="H17" s="75"/>
      <x:c r="I17" s="75"/>
      <x:c r="J17" s="75"/>
      <x:c r="K17" s="78"/>
      <x:c r="L17" s="78"/>
      <x:c r="M17" s="78"/>
      <x:c r="N17" s="78"/>
      <x:c r="O17" s="65"/>
      <x:c r="P17" s="65"/>
      <x:c r="Q17" s="65"/>
      <x:c r="R17" s="65"/>
      <x:c r="S17" s="81" t="str">
        <x:f>IF(OR(H17="",I17=""),"",'指标定义'!$I$3*(I17-H17))</x:f>
      </x:c>
      <x:c r="T17" s="81" t="str">
        <x:f>IF(OR(H17="",J17=""),"",'指标定义'!$I$3*(J17-H17))</x:f>
      </x:c>
      <x:c r="U17" s="84" t="str">
        <x:f>IF(M17="","",IF(M17=0,0,N17/M17))</x:f>
      </x:c>
      <x:c r="V17" s="72" t="str">
        <x:f>IF(AND(A17&lt;&gt;"",H17&lt;&gt;"",I17&lt;&gt;"",J17&lt;&gt;"",K17&lt;&gt;"",L17&lt;&gt;"",M17&lt;&gt;"",N17&lt;&gt;"",O17&lt;&gt;"",P17="已验收"),"是","否")</x:f>
        <x:v>否</x:v>
      </x:c>
      <x:c r="W17" s="72" t="str">
        <x:f>IF(A17="","",IF(V17="是","完整","缺少必填指标或未验收"))</x:f>
      </x:c>
    </x:row>
    <x:row r="18" ht="36" customHeight="1">
      <x:c r="A18" s="65"/>
      <x:c r="B18" s="65"/>
      <x:c r="C18" s="65"/>
      <x:c r="D18" s="65"/>
      <x:c r="E18" s="65"/>
      <x:c r="F18" s="65"/>
      <x:c r="G18" s="65"/>
      <x:c r="H18" s="75"/>
      <x:c r="I18" s="75"/>
      <x:c r="J18" s="75"/>
      <x:c r="K18" s="78"/>
      <x:c r="L18" s="78"/>
      <x:c r="M18" s="78"/>
      <x:c r="N18" s="78"/>
      <x:c r="O18" s="65"/>
      <x:c r="P18" s="65"/>
      <x:c r="Q18" s="65"/>
      <x:c r="R18" s="65"/>
      <x:c r="S18" s="81" t="str">
        <x:f>IF(OR(H18="",I18=""),"",'指标定义'!$I$3*(I18-H18))</x:f>
      </x:c>
      <x:c r="T18" s="81" t="str">
        <x:f>IF(OR(H18="",J18=""),"",'指标定义'!$I$3*(J18-H18))</x:f>
      </x:c>
      <x:c r="U18" s="84" t="str">
        <x:f>IF(M18="","",IF(M18=0,0,N18/M18))</x:f>
      </x:c>
      <x:c r="V18" s="72" t="str">
        <x:f>IF(AND(A18&lt;&gt;"",H18&lt;&gt;"",I18&lt;&gt;"",J18&lt;&gt;"",K18&lt;&gt;"",L18&lt;&gt;"",M18&lt;&gt;"",N18&lt;&gt;"",O18&lt;&gt;"",P18="已验收"),"是","否")</x:f>
        <x:v>否</x:v>
      </x:c>
      <x:c r="W18" s="72" t="str">
        <x:f>IF(A18="","",IF(V18="是","完整","缺少必填指标或未验收"))</x:f>
      </x:c>
    </x:row>
    <x:row r="19" ht="36" customHeight="1">
      <x:c r="A19" s="65"/>
      <x:c r="B19" s="65"/>
      <x:c r="C19" s="65"/>
      <x:c r="D19" s="65"/>
      <x:c r="E19" s="65"/>
      <x:c r="F19" s="65"/>
      <x:c r="G19" s="65"/>
      <x:c r="H19" s="75"/>
      <x:c r="I19" s="75"/>
      <x:c r="J19" s="75"/>
      <x:c r="K19" s="78"/>
      <x:c r="L19" s="78"/>
      <x:c r="M19" s="78"/>
      <x:c r="N19" s="78"/>
      <x:c r="O19" s="65"/>
      <x:c r="P19" s="65"/>
      <x:c r="Q19" s="65"/>
      <x:c r="R19" s="65"/>
      <x:c r="S19" s="81" t="str">
        <x:f>IF(OR(H19="",I19=""),"",'指标定义'!$I$3*(I19-H19))</x:f>
      </x:c>
      <x:c r="T19" s="81" t="str">
        <x:f>IF(OR(H19="",J19=""),"",'指标定义'!$I$3*(J19-H19))</x:f>
      </x:c>
      <x:c r="U19" s="84" t="str">
        <x:f>IF(M19="","",IF(M19=0,0,N19/M19))</x:f>
      </x:c>
      <x:c r="V19" s="72" t="str">
        <x:f>IF(AND(A19&lt;&gt;"",H19&lt;&gt;"",I19&lt;&gt;"",J19&lt;&gt;"",K19&lt;&gt;"",L19&lt;&gt;"",M19&lt;&gt;"",N19&lt;&gt;"",O19&lt;&gt;"",P19="已验收"),"是","否")</x:f>
        <x:v>否</x:v>
      </x:c>
      <x:c r="W19" s="72" t="str">
        <x:f>IF(A19="","",IF(V19="是","完整","缺少必填指标或未验收"))</x:f>
      </x:c>
    </x:row>
    <x:row r="20" ht="36" customHeight="1">
      <x:c r="A20" s="65"/>
      <x:c r="B20" s="65"/>
      <x:c r="C20" s="65"/>
      <x:c r="D20" s="65"/>
      <x:c r="E20" s="65"/>
      <x:c r="F20" s="65"/>
      <x:c r="G20" s="65"/>
      <x:c r="H20" s="75"/>
      <x:c r="I20" s="75"/>
      <x:c r="J20" s="75"/>
      <x:c r="K20" s="78"/>
      <x:c r="L20" s="78"/>
      <x:c r="M20" s="78"/>
      <x:c r="N20" s="78"/>
      <x:c r="O20" s="65"/>
      <x:c r="P20" s="65"/>
      <x:c r="Q20" s="65"/>
      <x:c r="R20" s="65"/>
      <x:c r="S20" s="81" t="str">
        <x:f>IF(OR(H20="",I20=""),"",'指标定义'!$I$3*(I20-H20))</x:f>
      </x:c>
      <x:c r="T20" s="81" t="str">
        <x:f>IF(OR(H20="",J20=""),"",'指标定义'!$I$3*(J20-H20))</x:f>
      </x:c>
      <x:c r="U20" s="84" t="str">
        <x:f>IF(M20="","",IF(M20=0,0,N20/M20))</x:f>
      </x:c>
      <x:c r="V20" s="72" t="str">
        <x:f>IF(AND(A20&lt;&gt;"",H20&lt;&gt;"",I20&lt;&gt;"",J20&lt;&gt;"",K20&lt;&gt;"",L20&lt;&gt;"",M20&lt;&gt;"",N20&lt;&gt;"",O20&lt;&gt;"",P20="已验收"),"是","否")</x:f>
        <x:v>否</x:v>
      </x:c>
      <x:c r="W20" s="72" t="str">
        <x:f>IF(A20="","",IF(V20="是","完整","缺少必填指标或未验收"))</x:f>
      </x:c>
    </x:row>
    <x:row r="21" ht="36" customHeight="1">
      <x:c r="A21" s="65"/>
      <x:c r="B21" s="65"/>
      <x:c r="C21" s="65"/>
      <x:c r="D21" s="65"/>
      <x:c r="E21" s="65"/>
      <x:c r="F21" s="65"/>
      <x:c r="G21" s="65"/>
      <x:c r="H21" s="75"/>
      <x:c r="I21" s="75"/>
      <x:c r="J21" s="75"/>
      <x:c r="K21" s="78"/>
      <x:c r="L21" s="78"/>
      <x:c r="M21" s="78"/>
      <x:c r="N21" s="78"/>
      <x:c r="O21" s="65"/>
      <x:c r="P21" s="65"/>
      <x:c r="Q21" s="65"/>
      <x:c r="R21" s="65"/>
      <x:c r="S21" s="81" t="str">
        <x:f>IF(OR(H21="",I21=""),"",'指标定义'!$I$3*(I21-H21))</x:f>
      </x:c>
      <x:c r="T21" s="81" t="str">
        <x:f>IF(OR(H21="",J21=""),"",'指标定义'!$I$3*(J21-H21))</x:f>
      </x:c>
      <x:c r="U21" s="84" t="str">
        <x:f>IF(M21="","",IF(M21=0,0,N21/M21))</x:f>
      </x:c>
      <x:c r="V21" s="72" t="str">
        <x:f>IF(AND(A21&lt;&gt;"",H21&lt;&gt;"",I21&lt;&gt;"",J21&lt;&gt;"",K21&lt;&gt;"",L21&lt;&gt;"",M21&lt;&gt;"",N21&lt;&gt;"",O21&lt;&gt;"",P21="已验收"),"是","否")</x:f>
        <x:v>否</x:v>
      </x:c>
      <x:c r="W21" s="72" t="str">
        <x:f>IF(A21="","",IF(V21="是","完整","缺少必填指标或未验收"))</x:f>
      </x:c>
    </x:row>
    <x:row r="22" ht="36" customHeight="1">
      <x:c r="A22" s="65"/>
      <x:c r="B22" s="65"/>
      <x:c r="C22" s="65"/>
      <x:c r="D22" s="65"/>
      <x:c r="E22" s="65"/>
      <x:c r="F22" s="65"/>
      <x:c r="G22" s="65"/>
      <x:c r="H22" s="75"/>
      <x:c r="I22" s="75"/>
      <x:c r="J22" s="75"/>
      <x:c r="K22" s="78"/>
      <x:c r="L22" s="78"/>
      <x:c r="M22" s="78"/>
      <x:c r="N22" s="78"/>
      <x:c r="O22" s="65"/>
      <x:c r="P22" s="65"/>
      <x:c r="Q22" s="65"/>
      <x:c r="R22" s="65"/>
      <x:c r="S22" s="81" t="str">
        <x:f>IF(OR(H22="",I22=""),"",'指标定义'!$I$3*(I22-H22))</x:f>
      </x:c>
      <x:c r="T22" s="81" t="str">
        <x:f>IF(OR(H22="",J22=""),"",'指标定义'!$I$3*(J22-H22))</x:f>
      </x:c>
      <x:c r="U22" s="84" t="str">
        <x:f>IF(M22="","",IF(M22=0,0,N22/M22))</x:f>
      </x:c>
      <x:c r="V22" s="72" t="str">
        <x:f>IF(AND(A22&lt;&gt;"",H22&lt;&gt;"",I22&lt;&gt;"",J22&lt;&gt;"",K22&lt;&gt;"",L22&lt;&gt;"",M22&lt;&gt;"",N22&lt;&gt;"",O22&lt;&gt;"",P22="已验收"),"是","否")</x:f>
        <x:v>否</x:v>
      </x:c>
      <x:c r="W22" s="72" t="str">
        <x:f>IF(A22="","",IF(V22="是","完整","缺少必填指标或未验收"))</x:f>
      </x:c>
    </x:row>
    <x:row r="23" ht="36" customHeight="1">
      <x:c r="A23" s="65"/>
      <x:c r="B23" s="65"/>
      <x:c r="C23" s="65"/>
      <x:c r="D23" s="65"/>
      <x:c r="E23" s="65"/>
      <x:c r="F23" s="65"/>
      <x:c r="G23" s="65"/>
      <x:c r="H23" s="75"/>
      <x:c r="I23" s="75"/>
      <x:c r="J23" s="75"/>
      <x:c r="K23" s="78"/>
      <x:c r="L23" s="78"/>
      <x:c r="M23" s="78"/>
      <x:c r="N23" s="78"/>
      <x:c r="O23" s="65"/>
      <x:c r="P23" s="65"/>
      <x:c r="Q23" s="65"/>
      <x:c r="R23" s="65"/>
      <x:c r="S23" s="81" t="str">
        <x:f>IF(OR(H23="",I23=""),"",'指标定义'!$I$3*(I23-H23))</x:f>
      </x:c>
      <x:c r="T23" s="81" t="str">
        <x:f>IF(OR(H23="",J23=""),"",'指标定义'!$I$3*(J23-H23))</x:f>
      </x:c>
      <x:c r="U23" s="84" t="str">
        <x:f>IF(M23="","",IF(M23=0,0,N23/M23))</x:f>
      </x:c>
      <x:c r="V23" s="72" t="str">
        <x:f>IF(AND(A23&lt;&gt;"",H23&lt;&gt;"",I23&lt;&gt;"",J23&lt;&gt;"",K23&lt;&gt;"",L23&lt;&gt;"",M23&lt;&gt;"",N23&lt;&gt;"",O23&lt;&gt;"",P23="已验收"),"是","否")</x:f>
        <x:v>否</x:v>
      </x:c>
      <x:c r="W23" s="72" t="str">
        <x:f>IF(A23="","",IF(V23="是","完整","缺少必填指标或未验收"))</x:f>
      </x:c>
    </x:row>
    <x:row r="24" ht="36" customHeight="1">
      <x:c r="A24" s="65"/>
      <x:c r="B24" s="65"/>
      <x:c r="C24" s="65"/>
      <x:c r="D24" s="65"/>
      <x:c r="E24" s="65"/>
      <x:c r="F24" s="65"/>
      <x:c r="G24" s="65"/>
      <x:c r="H24" s="75"/>
      <x:c r="I24" s="75"/>
      <x:c r="J24" s="75"/>
      <x:c r="K24" s="78"/>
      <x:c r="L24" s="78"/>
      <x:c r="M24" s="78"/>
      <x:c r="N24" s="78"/>
      <x:c r="O24" s="65"/>
      <x:c r="P24" s="65"/>
      <x:c r="Q24" s="65"/>
      <x:c r="R24" s="65"/>
      <x:c r="S24" s="81" t="str">
        <x:f>IF(OR(H24="",I24=""),"",'指标定义'!$I$3*(I24-H24))</x:f>
      </x:c>
      <x:c r="T24" s="81" t="str">
        <x:f>IF(OR(H24="",J24=""),"",'指标定义'!$I$3*(J24-H24))</x:f>
      </x:c>
      <x:c r="U24" s="84" t="str">
        <x:f>IF(M24="","",IF(M24=0,0,N24/M24))</x:f>
      </x:c>
      <x:c r="V24" s="72" t="str">
        <x:f>IF(AND(A24&lt;&gt;"",H24&lt;&gt;"",I24&lt;&gt;"",J24&lt;&gt;"",K24&lt;&gt;"",L24&lt;&gt;"",M24&lt;&gt;"",N24&lt;&gt;"",O24&lt;&gt;"",P24="已验收"),"是","否")</x:f>
        <x:v>否</x:v>
      </x:c>
      <x:c r="W24" s="72" t="str">
        <x:f>IF(A24="","",IF(V24="是","完整","缺少必填指标或未验收"))</x:f>
      </x:c>
    </x:row>
    <x:row r="25" ht="36" customHeight="1">
      <x:c r="A25" s="65"/>
      <x:c r="B25" s="65"/>
      <x:c r="C25" s="65"/>
      <x:c r="D25" s="65"/>
      <x:c r="E25" s="65"/>
      <x:c r="F25" s="65"/>
      <x:c r="G25" s="65"/>
      <x:c r="H25" s="75"/>
      <x:c r="I25" s="75"/>
      <x:c r="J25" s="75"/>
      <x:c r="K25" s="78"/>
      <x:c r="L25" s="78"/>
      <x:c r="M25" s="78"/>
      <x:c r="N25" s="78"/>
      <x:c r="O25" s="65"/>
      <x:c r="P25" s="65"/>
      <x:c r="Q25" s="65"/>
      <x:c r="R25" s="65"/>
      <x:c r="S25" s="81" t="str">
        <x:f>IF(OR(H25="",I25=""),"",'指标定义'!$I$3*(I25-H25))</x:f>
      </x:c>
      <x:c r="T25" s="81" t="str">
        <x:f>IF(OR(H25="",J25=""),"",'指标定义'!$I$3*(J25-H25))</x:f>
      </x:c>
      <x:c r="U25" s="84" t="str">
        <x:f>IF(M25="","",IF(M25=0,0,N25/M25))</x:f>
      </x:c>
      <x:c r="V25" s="72" t="str">
        <x:f>IF(AND(A25&lt;&gt;"",H25&lt;&gt;"",I25&lt;&gt;"",J25&lt;&gt;"",K25&lt;&gt;"",L25&lt;&gt;"",M25&lt;&gt;"",N25&lt;&gt;"",O25&lt;&gt;"",P25="已验收"),"是","否")</x:f>
        <x:v>否</x:v>
      </x:c>
      <x:c r="W25" s="72" t="str">
        <x:f>IF(A25="","",IF(V25="是","完整","缺少必填指标或未验收"))</x:f>
      </x:c>
    </x:row>
    <x:row r="26" ht="36" customHeight="1">
      <x:c r="A26" s="65"/>
      <x:c r="B26" s="65"/>
      <x:c r="C26" s="65"/>
      <x:c r="D26" s="65"/>
      <x:c r="E26" s="65"/>
      <x:c r="F26" s="65"/>
      <x:c r="G26" s="65"/>
      <x:c r="H26" s="75"/>
      <x:c r="I26" s="75"/>
      <x:c r="J26" s="75"/>
      <x:c r="K26" s="78"/>
      <x:c r="L26" s="78"/>
      <x:c r="M26" s="78"/>
      <x:c r="N26" s="78"/>
      <x:c r="O26" s="65"/>
      <x:c r="P26" s="65"/>
      <x:c r="Q26" s="65"/>
      <x:c r="R26" s="65"/>
      <x:c r="S26" s="81" t="str">
        <x:f>IF(OR(H26="",I26=""),"",'指标定义'!$I$3*(I26-H26))</x:f>
      </x:c>
      <x:c r="T26" s="81" t="str">
        <x:f>IF(OR(H26="",J26=""),"",'指标定义'!$I$3*(J26-H26))</x:f>
      </x:c>
      <x:c r="U26" s="84" t="str">
        <x:f>IF(M26="","",IF(M26=0,0,N26/M26))</x:f>
      </x:c>
      <x:c r="V26" s="72" t="str">
        <x:f>IF(AND(A26&lt;&gt;"",H26&lt;&gt;"",I26&lt;&gt;"",J26&lt;&gt;"",K26&lt;&gt;"",L26&lt;&gt;"",M26&lt;&gt;"",N26&lt;&gt;"",O26&lt;&gt;"",P26="已验收"),"是","否")</x:f>
        <x:v>否</x:v>
      </x:c>
      <x:c r="W26" s="72" t="str">
        <x:f>IF(A26="","",IF(V26="是","完整","缺少必填指标或未验收"))</x:f>
      </x:c>
    </x:row>
    <x:row r="27" ht="36" customHeight="1">
      <x:c r="A27" s="65"/>
      <x:c r="B27" s="65"/>
      <x:c r="C27" s="65"/>
      <x:c r="D27" s="65"/>
      <x:c r="E27" s="65"/>
      <x:c r="F27" s="65"/>
      <x:c r="G27" s="65"/>
      <x:c r="H27" s="75"/>
      <x:c r="I27" s="75"/>
      <x:c r="J27" s="75"/>
      <x:c r="K27" s="78"/>
      <x:c r="L27" s="78"/>
      <x:c r="M27" s="78"/>
      <x:c r="N27" s="78"/>
      <x:c r="O27" s="65"/>
      <x:c r="P27" s="65"/>
      <x:c r="Q27" s="65"/>
      <x:c r="R27" s="65"/>
      <x:c r="S27" s="81" t="str">
        <x:f>IF(OR(H27="",I27=""),"",'指标定义'!$I$3*(I27-H27))</x:f>
      </x:c>
      <x:c r="T27" s="81" t="str">
        <x:f>IF(OR(H27="",J27=""),"",'指标定义'!$I$3*(J27-H27))</x:f>
      </x:c>
      <x:c r="U27" s="84" t="str">
        <x:f>IF(M27="","",IF(M27=0,0,N27/M27))</x:f>
      </x:c>
      <x:c r="V27" s="72" t="str">
        <x:f>IF(AND(A27&lt;&gt;"",H27&lt;&gt;"",I27&lt;&gt;"",J27&lt;&gt;"",K27&lt;&gt;"",L27&lt;&gt;"",M27&lt;&gt;"",N27&lt;&gt;"",O27&lt;&gt;"",P27="已验收"),"是","否")</x:f>
        <x:v>否</x:v>
      </x:c>
      <x:c r="W27" s="72" t="str">
        <x:f>IF(A27="","",IF(V27="是","完整","缺少必填指标或未验收"))</x:f>
      </x:c>
    </x:row>
    <x:row r="28" ht="36" customHeight="1">
      <x:c r="A28" s="65"/>
      <x:c r="B28" s="65"/>
      <x:c r="C28" s="65"/>
      <x:c r="D28" s="65"/>
      <x:c r="E28" s="65"/>
      <x:c r="F28" s="65"/>
      <x:c r="G28" s="65"/>
      <x:c r="H28" s="75"/>
      <x:c r="I28" s="75"/>
      <x:c r="J28" s="75"/>
      <x:c r="K28" s="78"/>
      <x:c r="L28" s="78"/>
      <x:c r="M28" s="78"/>
      <x:c r="N28" s="78"/>
      <x:c r="O28" s="65"/>
      <x:c r="P28" s="65"/>
      <x:c r="Q28" s="65"/>
      <x:c r="R28" s="65"/>
      <x:c r="S28" s="81" t="str">
        <x:f>IF(OR(H28="",I28=""),"",'指标定义'!$I$3*(I28-H28))</x:f>
      </x:c>
      <x:c r="T28" s="81" t="str">
        <x:f>IF(OR(H28="",J28=""),"",'指标定义'!$I$3*(J28-H28))</x:f>
      </x:c>
      <x:c r="U28" s="84" t="str">
        <x:f>IF(M28="","",IF(M28=0,0,N28/M28))</x:f>
      </x:c>
      <x:c r="V28" s="72" t="str">
        <x:f>IF(AND(A28&lt;&gt;"",H28&lt;&gt;"",I28&lt;&gt;"",J28&lt;&gt;"",K28&lt;&gt;"",L28&lt;&gt;"",M28&lt;&gt;"",N28&lt;&gt;"",O28&lt;&gt;"",P28="已验收"),"是","否")</x:f>
        <x:v>否</x:v>
      </x:c>
      <x:c r="W28" s="72" t="str">
        <x:f>IF(A28="","",IF(V28="是","完整","缺少必填指标或未验收"))</x:f>
      </x:c>
    </x:row>
    <x:row r="29" ht="36" customHeight="1">
      <x:c r="A29" s="65"/>
      <x:c r="B29" s="65"/>
      <x:c r="C29" s="65"/>
      <x:c r="D29" s="65"/>
      <x:c r="E29" s="65"/>
      <x:c r="F29" s="65"/>
      <x:c r="G29" s="65"/>
      <x:c r="H29" s="75"/>
      <x:c r="I29" s="75"/>
      <x:c r="J29" s="75"/>
      <x:c r="K29" s="78"/>
      <x:c r="L29" s="78"/>
      <x:c r="M29" s="78"/>
      <x:c r="N29" s="78"/>
      <x:c r="O29" s="65"/>
      <x:c r="P29" s="65"/>
      <x:c r="Q29" s="65"/>
      <x:c r="R29" s="65"/>
      <x:c r="S29" s="81" t="str">
        <x:f>IF(OR(H29="",I29=""),"",'指标定义'!$I$3*(I29-H29))</x:f>
      </x:c>
      <x:c r="T29" s="81" t="str">
        <x:f>IF(OR(H29="",J29=""),"",'指标定义'!$I$3*(J29-H29))</x:f>
      </x:c>
      <x:c r="U29" s="84" t="str">
        <x:f>IF(M29="","",IF(M29=0,0,N29/M29))</x:f>
      </x:c>
      <x:c r="V29" s="72" t="str">
        <x:f>IF(AND(A29&lt;&gt;"",H29&lt;&gt;"",I29&lt;&gt;"",J29&lt;&gt;"",K29&lt;&gt;"",L29&lt;&gt;"",M29&lt;&gt;"",N29&lt;&gt;"",O29&lt;&gt;"",P29="已验收"),"是","否")</x:f>
        <x:v>否</x:v>
      </x:c>
      <x:c r="W29" s="72" t="str">
        <x:f>IF(A29="","",IF(V29="是","完整","缺少必填指标或未验收"))</x:f>
      </x:c>
    </x:row>
    <x:row r="30" ht="36" customHeight="1">
      <x:c r="A30" s="65"/>
      <x:c r="B30" s="65"/>
      <x:c r="C30" s="65"/>
      <x:c r="D30" s="65"/>
      <x:c r="E30" s="65"/>
      <x:c r="F30" s="65"/>
      <x:c r="G30" s="65"/>
      <x:c r="H30" s="75"/>
      <x:c r="I30" s="75"/>
      <x:c r="J30" s="75"/>
      <x:c r="K30" s="78"/>
      <x:c r="L30" s="78"/>
      <x:c r="M30" s="78"/>
      <x:c r="N30" s="78"/>
      <x:c r="O30" s="65"/>
      <x:c r="P30" s="65"/>
      <x:c r="Q30" s="65"/>
      <x:c r="R30" s="65"/>
      <x:c r="S30" s="81" t="str">
        <x:f>IF(OR(H30="",I30=""),"",'指标定义'!$I$3*(I30-H30))</x:f>
      </x:c>
      <x:c r="T30" s="81" t="str">
        <x:f>IF(OR(H30="",J30=""),"",'指标定义'!$I$3*(J30-H30))</x:f>
      </x:c>
      <x:c r="U30" s="84" t="str">
        <x:f>IF(M30="","",IF(M30=0,0,N30/M30))</x:f>
      </x:c>
      <x:c r="V30" s="72" t="str">
        <x:f>IF(AND(A30&lt;&gt;"",H30&lt;&gt;"",I30&lt;&gt;"",J30&lt;&gt;"",K30&lt;&gt;"",L30&lt;&gt;"",M30&lt;&gt;"",N30&lt;&gt;"",O30&lt;&gt;"",P30="已验收"),"是","否")</x:f>
        <x:v>否</x:v>
      </x:c>
      <x:c r="W30" s="72" t="str">
        <x:f>IF(A30="","",IF(V30="是","完整","缺少必填指标或未验收"))</x:f>
      </x:c>
    </x:row>
    <x:row r="31" ht="36" customHeight="1">
      <x:c r="A31" s="65"/>
      <x:c r="B31" s="65"/>
      <x:c r="C31" s="65"/>
      <x:c r="D31" s="65"/>
      <x:c r="E31" s="65"/>
      <x:c r="F31" s="65"/>
      <x:c r="G31" s="65"/>
      <x:c r="H31" s="75"/>
      <x:c r="I31" s="75"/>
      <x:c r="J31" s="75"/>
      <x:c r="K31" s="78"/>
      <x:c r="L31" s="78"/>
      <x:c r="M31" s="78"/>
      <x:c r="N31" s="78"/>
      <x:c r="O31" s="65"/>
      <x:c r="P31" s="65"/>
      <x:c r="Q31" s="65"/>
      <x:c r="R31" s="65"/>
      <x:c r="S31" s="81" t="str">
        <x:f>IF(OR(H31="",I31=""),"",'指标定义'!$I$3*(I31-H31))</x:f>
      </x:c>
      <x:c r="T31" s="81" t="str">
        <x:f>IF(OR(H31="",J31=""),"",'指标定义'!$I$3*(J31-H31))</x:f>
      </x:c>
      <x:c r="U31" s="84" t="str">
        <x:f>IF(M31="","",IF(M31=0,0,N31/M31))</x:f>
      </x:c>
      <x:c r="V31" s="72" t="str">
        <x:f>IF(AND(A31&lt;&gt;"",H31&lt;&gt;"",I31&lt;&gt;"",J31&lt;&gt;"",K31&lt;&gt;"",L31&lt;&gt;"",M31&lt;&gt;"",N31&lt;&gt;"",O31&lt;&gt;"",P31="已验收"),"是","否")</x:f>
        <x:v>否</x:v>
      </x:c>
      <x:c r="W31" s="72" t="str">
        <x:f>IF(A31="","",IF(V31="是","完整","缺少必填指标或未验收"))</x:f>
      </x:c>
    </x:row>
    <x:row r="32" ht="36" customHeight="1">
      <x:c r="A32" s="65"/>
      <x:c r="B32" s="65"/>
      <x:c r="C32" s="65"/>
      <x:c r="D32" s="65"/>
      <x:c r="E32" s="65"/>
      <x:c r="F32" s="65"/>
      <x:c r="G32" s="65"/>
      <x:c r="H32" s="75"/>
      <x:c r="I32" s="75"/>
      <x:c r="J32" s="75"/>
      <x:c r="K32" s="78"/>
      <x:c r="L32" s="78"/>
      <x:c r="M32" s="78"/>
      <x:c r="N32" s="78"/>
      <x:c r="O32" s="65"/>
      <x:c r="P32" s="65"/>
      <x:c r="Q32" s="65"/>
      <x:c r="R32" s="65"/>
      <x:c r="S32" s="81" t="str">
        <x:f>IF(OR(H32="",I32=""),"",'指标定义'!$I$3*(I32-H32))</x:f>
      </x:c>
      <x:c r="T32" s="81" t="str">
        <x:f>IF(OR(H32="",J32=""),"",'指标定义'!$I$3*(J32-H32))</x:f>
      </x:c>
      <x:c r="U32" s="84" t="str">
        <x:f>IF(M32="","",IF(M32=0,0,N32/M32))</x:f>
      </x:c>
      <x:c r="V32" s="72" t="str">
        <x:f>IF(AND(A32&lt;&gt;"",H32&lt;&gt;"",I32&lt;&gt;"",J32&lt;&gt;"",K32&lt;&gt;"",L32&lt;&gt;"",M32&lt;&gt;"",N32&lt;&gt;"",O32&lt;&gt;"",P32="已验收"),"是","否")</x:f>
        <x:v>否</x:v>
      </x:c>
      <x:c r="W32" s="72" t="str">
        <x:f>IF(A32="","",IF(V32="是","完整","缺少必填指标或未验收"))</x:f>
      </x:c>
    </x:row>
    <x:row r="33" ht="36" customHeight="1">
      <x:c r="A33" s="65"/>
      <x:c r="B33" s="65"/>
      <x:c r="C33" s="65"/>
      <x:c r="D33" s="65"/>
      <x:c r="E33" s="65"/>
      <x:c r="F33" s="65"/>
      <x:c r="G33" s="65"/>
      <x:c r="H33" s="75"/>
      <x:c r="I33" s="75"/>
      <x:c r="J33" s="75"/>
      <x:c r="K33" s="78"/>
      <x:c r="L33" s="78"/>
      <x:c r="M33" s="78"/>
      <x:c r="N33" s="78"/>
      <x:c r="O33" s="65"/>
      <x:c r="P33" s="65"/>
      <x:c r="Q33" s="65"/>
      <x:c r="R33" s="65"/>
      <x:c r="S33" s="81" t="str">
        <x:f>IF(OR(H33="",I33=""),"",'指标定义'!$I$3*(I33-H33))</x:f>
      </x:c>
      <x:c r="T33" s="81" t="str">
        <x:f>IF(OR(H33="",J33=""),"",'指标定义'!$I$3*(J33-H33))</x:f>
      </x:c>
      <x:c r="U33" s="84" t="str">
        <x:f>IF(M33="","",IF(M33=0,0,N33/M33))</x:f>
      </x:c>
      <x:c r="V33" s="72" t="str">
        <x:f>IF(AND(A33&lt;&gt;"",H33&lt;&gt;"",I33&lt;&gt;"",J33&lt;&gt;"",K33&lt;&gt;"",L33&lt;&gt;"",M33&lt;&gt;"",N33&lt;&gt;"",O33&lt;&gt;"",P33="已验收"),"是","否")</x:f>
        <x:v>否</x:v>
      </x:c>
      <x:c r="W33" s="72" t="str">
        <x:f>IF(A33="","",IF(V33="是","完整","缺少必填指标或未验收"))</x:f>
      </x:c>
    </x:row>
    <x:row r="34" ht="36" customHeight="1">
      <x:c r="A34" s="65"/>
      <x:c r="B34" s="65"/>
      <x:c r="C34" s="65"/>
      <x:c r="D34" s="65"/>
      <x:c r="E34" s="65"/>
      <x:c r="F34" s="65"/>
      <x:c r="G34" s="65"/>
      <x:c r="H34" s="75"/>
      <x:c r="I34" s="75"/>
      <x:c r="J34" s="75"/>
      <x:c r="K34" s="78"/>
      <x:c r="L34" s="78"/>
      <x:c r="M34" s="78"/>
      <x:c r="N34" s="78"/>
      <x:c r="O34" s="65"/>
      <x:c r="P34" s="65"/>
      <x:c r="Q34" s="65"/>
      <x:c r="R34" s="65"/>
      <x:c r="S34" s="81" t="str">
        <x:f>IF(OR(H34="",I34=""),"",'指标定义'!$I$3*(I34-H34))</x:f>
      </x:c>
      <x:c r="T34" s="81" t="str">
        <x:f>IF(OR(H34="",J34=""),"",'指标定义'!$I$3*(J34-H34))</x:f>
      </x:c>
      <x:c r="U34" s="84" t="str">
        <x:f>IF(M34="","",IF(M34=0,0,N34/M34))</x:f>
      </x:c>
      <x:c r="V34" s="72" t="str">
        <x:f>IF(AND(A34&lt;&gt;"",H34&lt;&gt;"",I34&lt;&gt;"",J34&lt;&gt;"",K34&lt;&gt;"",L34&lt;&gt;"",M34&lt;&gt;"",N34&lt;&gt;"",O34&lt;&gt;"",P34="已验收"),"是","否")</x:f>
        <x:v>否</x:v>
      </x:c>
      <x:c r="W34" s="72" t="str">
        <x:f>IF(A34="","",IF(V34="是","完整","缺少必填指标或未验收"))</x:f>
      </x:c>
    </x:row>
    <x:row r="35" ht="36" customHeight="1">
      <x:c r="A35" s="65"/>
      <x:c r="B35" s="65"/>
      <x:c r="C35" s="65"/>
      <x:c r="D35" s="65"/>
      <x:c r="E35" s="65"/>
      <x:c r="F35" s="65"/>
      <x:c r="G35" s="65"/>
      <x:c r="H35" s="75"/>
      <x:c r="I35" s="75"/>
      <x:c r="J35" s="75"/>
      <x:c r="K35" s="78"/>
      <x:c r="L35" s="78"/>
      <x:c r="M35" s="78"/>
      <x:c r="N35" s="78"/>
      <x:c r="O35" s="65"/>
      <x:c r="P35" s="65"/>
      <x:c r="Q35" s="65"/>
      <x:c r="R35" s="65"/>
      <x:c r="S35" s="81" t="str">
        <x:f>IF(OR(H35="",I35=""),"",'指标定义'!$I$3*(I35-H35))</x:f>
      </x:c>
      <x:c r="T35" s="81" t="str">
        <x:f>IF(OR(H35="",J35=""),"",'指标定义'!$I$3*(J35-H35))</x:f>
      </x:c>
      <x:c r="U35" s="84" t="str">
        <x:f>IF(M35="","",IF(M35=0,0,N35/M35))</x:f>
      </x:c>
      <x:c r="V35" s="72" t="str">
        <x:f>IF(AND(A35&lt;&gt;"",H35&lt;&gt;"",I35&lt;&gt;"",J35&lt;&gt;"",K35&lt;&gt;"",L35&lt;&gt;"",M35&lt;&gt;"",N35&lt;&gt;"",O35&lt;&gt;"",P35="已验收"),"是","否")</x:f>
        <x:v>否</x:v>
      </x:c>
      <x:c r="W35" s="72" t="str">
        <x:f>IF(A35="","",IF(V35="是","完整","缺少必填指标或未验收"))</x:f>
      </x:c>
    </x:row>
    <x:row r="36" ht="36" customHeight="1">
      <x:c r="A36" s="65"/>
      <x:c r="B36" s="65"/>
      <x:c r="C36" s="65"/>
      <x:c r="D36" s="65"/>
      <x:c r="E36" s="65"/>
      <x:c r="F36" s="65"/>
      <x:c r="G36" s="65"/>
      <x:c r="H36" s="75"/>
      <x:c r="I36" s="75"/>
      <x:c r="J36" s="75"/>
      <x:c r="K36" s="78"/>
      <x:c r="L36" s="78"/>
      <x:c r="M36" s="78"/>
      <x:c r="N36" s="78"/>
      <x:c r="O36" s="65"/>
      <x:c r="P36" s="65"/>
      <x:c r="Q36" s="65"/>
      <x:c r="R36" s="65"/>
      <x:c r="S36" s="81" t="str">
        <x:f>IF(OR(H36="",I36=""),"",'指标定义'!$I$3*(I36-H36))</x:f>
      </x:c>
      <x:c r="T36" s="81" t="str">
        <x:f>IF(OR(H36="",J36=""),"",'指标定义'!$I$3*(J36-H36))</x:f>
      </x:c>
      <x:c r="U36" s="84" t="str">
        <x:f>IF(M36="","",IF(M36=0,0,N36/M36))</x:f>
      </x:c>
      <x:c r="V36" s="72" t="str">
        <x:f>IF(AND(A36&lt;&gt;"",H36&lt;&gt;"",I36&lt;&gt;"",J36&lt;&gt;"",K36&lt;&gt;"",L36&lt;&gt;"",M36&lt;&gt;"",N36&lt;&gt;"",O36&lt;&gt;"",P36="已验收"),"是","否")</x:f>
        <x:v>否</x:v>
      </x:c>
      <x:c r="W36" s="72" t="str">
        <x:f>IF(A36="","",IF(V36="是","完整","缺少必填指标或未验收"))</x:f>
      </x:c>
    </x:row>
    <x:row r="37" ht="36" customHeight="1">
      <x:c r="A37" s="65"/>
      <x:c r="B37" s="65"/>
      <x:c r="C37" s="65"/>
      <x:c r="D37" s="65"/>
      <x:c r="E37" s="65"/>
      <x:c r="F37" s="65"/>
      <x:c r="G37" s="65"/>
      <x:c r="H37" s="75"/>
      <x:c r="I37" s="75"/>
      <x:c r="J37" s="75"/>
      <x:c r="K37" s="78"/>
      <x:c r="L37" s="78"/>
      <x:c r="M37" s="78"/>
      <x:c r="N37" s="78"/>
      <x:c r="O37" s="65"/>
      <x:c r="P37" s="65"/>
      <x:c r="Q37" s="65"/>
      <x:c r="R37" s="65"/>
      <x:c r="S37" s="81" t="str">
        <x:f>IF(OR(H37="",I37=""),"",'指标定义'!$I$3*(I37-H37))</x:f>
      </x:c>
      <x:c r="T37" s="81" t="str">
        <x:f>IF(OR(H37="",J37=""),"",'指标定义'!$I$3*(J37-H37))</x:f>
      </x:c>
      <x:c r="U37" s="84" t="str">
        <x:f>IF(M37="","",IF(M37=0,0,N37/M37))</x:f>
      </x:c>
      <x:c r="V37" s="72" t="str">
        <x:f>IF(AND(A37&lt;&gt;"",H37&lt;&gt;"",I37&lt;&gt;"",J37&lt;&gt;"",K37&lt;&gt;"",L37&lt;&gt;"",M37&lt;&gt;"",N37&lt;&gt;"",O37&lt;&gt;"",P37="已验收"),"是","否")</x:f>
        <x:v>否</x:v>
      </x:c>
      <x:c r="W37" s="72" t="str">
        <x:f>IF(A37="","",IF(V37="是","完整","缺少必填指标或未验收"))</x:f>
      </x:c>
    </x:row>
    <x:row r="38" ht="36" customHeight="1">
      <x:c r="A38" s="65"/>
      <x:c r="B38" s="65"/>
      <x:c r="C38" s="65"/>
      <x:c r="D38" s="65"/>
      <x:c r="E38" s="65"/>
      <x:c r="F38" s="65"/>
      <x:c r="G38" s="65"/>
      <x:c r="H38" s="75"/>
      <x:c r="I38" s="75"/>
      <x:c r="J38" s="75"/>
      <x:c r="K38" s="78"/>
      <x:c r="L38" s="78"/>
      <x:c r="M38" s="78"/>
      <x:c r="N38" s="78"/>
      <x:c r="O38" s="65"/>
      <x:c r="P38" s="65"/>
      <x:c r="Q38" s="65"/>
      <x:c r="R38" s="65"/>
      <x:c r="S38" s="81" t="str">
        <x:f>IF(OR(H38="",I38=""),"",'指标定义'!$I$3*(I38-H38))</x:f>
      </x:c>
      <x:c r="T38" s="81" t="str">
        <x:f>IF(OR(H38="",J38=""),"",'指标定义'!$I$3*(J38-H38))</x:f>
      </x:c>
      <x:c r="U38" s="84" t="str">
        <x:f>IF(M38="","",IF(M38=0,0,N38/M38))</x:f>
      </x:c>
      <x:c r="V38" s="72" t="str">
        <x:f>IF(AND(A38&lt;&gt;"",H38&lt;&gt;"",I38&lt;&gt;"",J38&lt;&gt;"",K38&lt;&gt;"",L38&lt;&gt;"",M38&lt;&gt;"",N38&lt;&gt;"",O38&lt;&gt;"",P38="已验收"),"是","否")</x:f>
        <x:v>否</x:v>
      </x:c>
      <x:c r="W38" s="72" t="str">
        <x:f>IF(A38="","",IF(V38="是","完整","缺少必填指标或未验收"))</x:f>
      </x:c>
    </x:row>
    <x:row r="39" ht="36" customHeight="1">
      <x:c r="A39" s="65"/>
      <x:c r="B39" s="65"/>
      <x:c r="C39" s="65"/>
      <x:c r="D39" s="65"/>
      <x:c r="E39" s="65"/>
      <x:c r="F39" s="65"/>
      <x:c r="G39" s="65"/>
      <x:c r="H39" s="75"/>
      <x:c r="I39" s="75"/>
      <x:c r="J39" s="75"/>
      <x:c r="K39" s="78"/>
      <x:c r="L39" s="78"/>
      <x:c r="M39" s="78"/>
      <x:c r="N39" s="78"/>
      <x:c r="O39" s="65"/>
      <x:c r="P39" s="65"/>
      <x:c r="Q39" s="65"/>
      <x:c r="R39" s="65"/>
      <x:c r="S39" s="81" t="str">
        <x:f>IF(OR(H39="",I39=""),"",'指标定义'!$I$3*(I39-H39))</x:f>
      </x:c>
      <x:c r="T39" s="81" t="str">
        <x:f>IF(OR(H39="",J39=""),"",'指标定义'!$I$3*(J39-H39))</x:f>
      </x:c>
      <x:c r="U39" s="84" t="str">
        <x:f>IF(M39="","",IF(M39=0,0,N39/M39))</x:f>
      </x:c>
      <x:c r="V39" s="72" t="str">
        <x:f>IF(AND(A39&lt;&gt;"",H39&lt;&gt;"",I39&lt;&gt;"",J39&lt;&gt;"",K39&lt;&gt;"",L39&lt;&gt;"",M39&lt;&gt;"",N39&lt;&gt;"",O39&lt;&gt;"",P39="已验收"),"是","否")</x:f>
        <x:v>否</x:v>
      </x:c>
      <x:c r="W39" s="72" t="str">
        <x:f>IF(A39="","",IF(V39="是","完整","缺少必填指标或未验收"))</x:f>
      </x:c>
    </x:row>
    <x:row r="40" ht="36" customHeight="1">
      <x:c r="A40" s="65"/>
      <x:c r="B40" s="65"/>
      <x:c r="C40" s="65"/>
      <x:c r="D40" s="65"/>
      <x:c r="E40" s="65"/>
      <x:c r="F40" s="65"/>
      <x:c r="G40" s="65"/>
      <x:c r="H40" s="75"/>
      <x:c r="I40" s="75"/>
      <x:c r="J40" s="75"/>
      <x:c r="K40" s="78"/>
      <x:c r="L40" s="78"/>
      <x:c r="M40" s="78"/>
      <x:c r="N40" s="78"/>
      <x:c r="O40" s="65"/>
      <x:c r="P40" s="65"/>
      <x:c r="Q40" s="65"/>
      <x:c r="R40" s="65"/>
      <x:c r="S40" s="81" t="str">
        <x:f>IF(OR(H40="",I40=""),"",'指标定义'!$I$3*(I40-H40))</x:f>
      </x:c>
      <x:c r="T40" s="81" t="str">
        <x:f>IF(OR(H40="",J40=""),"",'指标定义'!$I$3*(J40-H40))</x:f>
      </x:c>
      <x:c r="U40" s="84" t="str">
        <x:f>IF(M40="","",IF(M40=0,0,N40/M40))</x:f>
      </x:c>
      <x:c r="V40" s="72" t="str">
        <x:f>IF(AND(A40&lt;&gt;"",H40&lt;&gt;"",I40&lt;&gt;"",J40&lt;&gt;"",K40&lt;&gt;"",L40&lt;&gt;"",M40&lt;&gt;"",N40&lt;&gt;"",O40&lt;&gt;"",P40="已验收"),"是","否")</x:f>
        <x:v>否</x:v>
      </x:c>
      <x:c r="W40" s="72" t="str">
        <x:f>IF(A40="","",IF(V40="是","完整","缺少必填指标或未验收"))</x:f>
      </x:c>
    </x:row>
    <x:row r="41" ht="36" customHeight="1">
      <x:c r="A41" s="65"/>
      <x:c r="B41" s="65"/>
      <x:c r="C41" s="65"/>
      <x:c r="D41" s="65"/>
      <x:c r="E41" s="65"/>
      <x:c r="F41" s="65"/>
      <x:c r="G41" s="65"/>
      <x:c r="H41" s="75"/>
      <x:c r="I41" s="75"/>
      <x:c r="J41" s="75"/>
      <x:c r="K41" s="78"/>
      <x:c r="L41" s="78"/>
      <x:c r="M41" s="78"/>
      <x:c r="N41" s="78"/>
      <x:c r="O41" s="65"/>
      <x:c r="P41" s="65"/>
      <x:c r="Q41" s="65"/>
      <x:c r="R41" s="65"/>
      <x:c r="S41" s="81" t="str">
        <x:f>IF(OR(H41="",I41=""),"",'指标定义'!$I$3*(I41-H41))</x:f>
      </x:c>
      <x:c r="T41" s="81" t="str">
        <x:f>IF(OR(H41="",J41=""),"",'指标定义'!$I$3*(J41-H41))</x:f>
      </x:c>
      <x:c r="U41" s="84" t="str">
        <x:f>IF(M41="","",IF(M41=0,0,N41/M41))</x:f>
      </x:c>
      <x:c r="V41" s="72" t="str">
        <x:f>IF(AND(A41&lt;&gt;"",H41&lt;&gt;"",I41&lt;&gt;"",J41&lt;&gt;"",K41&lt;&gt;"",L41&lt;&gt;"",M41&lt;&gt;"",N41&lt;&gt;"",O41&lt;&gt;"",P41="已验收"),"是","否")</x:f>
        <x:v>否</x:v>
      </x:c>
      <x:c r="W41" s="72" t="str">
        <x:f>IF(A41="","",IF(V41="是","完整","缺少必填指标或未验收"))</x:f>
      </x:c>
    </x:row>
    <x:row r="42" ht="36" customHeight="1">
      <x:c r="A42" s="65"/>
      <x:c r="B42" s="65"/>
      <x:c r="C42" s="65"/>
      <x:c r="D42" s="65"/>
      <x:c r="E42" s="65"/>
      <x:c r="F42" s="65"/>
      <x:c r="G42" s="65"/>
      <x:c r="H42" s="75"/>
      <x:c r="I42" s="75"/>
      <x:c r="J42" s="75"/>
      <x:c r="K42" s="78"/>
      <x:c r="L42" s="78"/>
      <x:c r="M42" s="78"/>
      <x:c r="N42" s="78"/>
      <x:c r="O42" s="65"/>
      <x:c r="P42" s="65"/>
      <x:c r="Q42" s="65"/>
      <x:c r="R42" s="65"/>
      <x:c r="S42" s="81" t="str">
        <x:f>IF(OR(H42="",I42=""),"",'指标定义'!$I$3*(I42-H42))</x:f>
      </x:c>
      <x:c r="T42" s="81" t="str">
        <x:f>IF(OR(H42="",J42=""),"",'指标定义'!$I$3*(J42-H42))</x:f>
      </x:c>
      <x:c r="U42" s="84" t="str">
        <x:f>IF(M42="","",IF(M42=0,0,N42/M42))</x:f>
      </x:c>
      <x:c r="V42" s="72" t="str">
        <x:f>IF(AND(A42&lt;&gt;"",H42&lt;&gt;"",I42&lt;&gt;"",J42&lt;&gt;"",K42&lt;&gt;"",L42&lt;&gt;"",M42&lt;&gt;"",N42&lt;&gt;"",O42&lt;&gt;"",P42="已验收"),"是","否")</x:f>
        <x:v>否</x:v>
      </x:c>
      <x:c r="W42" s="72" t="str">
        <x:f>IF(A42="","",IF(V42="是","完整","缺少必填指标或未验收"))</x:f>
      </x:c>
    </x:row>
    <x:row r="43" ht="36" customHeight="1">
      <x:c r="A43" s="65"/>
      <x:c r="B43" s="65"/>
      <x:c r="C43" s="65"/>
      <x:c r="D43" s="65"/>
      <x:c r="E43" s="65"/>
      <x:c r="F43" s="65"/>
      <x:c r="G43" s="65"/>
      <x:c r="H43" s="75"/>
      <x:c r="I43" s="75"/>
      <x:c r="J43" s="75"/>
      <x:c r="K43" s="78"/>
      <x:c r="L43" s="78"/>
      <x:c r="M43" s="78"/>
      <x:c r="N43" s="78"/>
      <x:c r="O43" s="65"/>
      <x:c r="P43" s="65"/>
      <x:c r="Q43" s="65"/>
      <x:c r="R43" s="65"/>
      <x:c r="S43" s="81" t="str">
        <x:f>IF(OR(H43="",I43=""),"",'指标定义'!$I$3*(I43-H43))</x:f>
      </x:c>
      <x:c r="T43" s="81" t="str">
        <x:f>IF(OR(H43="",J43=""),"",'指标定义'!$I$3*(J43-H43))</x:f>
      </x:c>
      <x:c r="U43" s="84" t="str">
        <x:f>IF(M43="","",IF(M43=0,0,N43/M43))</x:f>
      </x:c>
      <x:c r="V43" s="72" t="str">
        <x:f>IF(AND(A43&lt;&gt;"",H43&lt;&gt;"",I43&lt;&gt;"",J43&lt;&gt;"",K43&lt;&gt;"",L43&lt;&gt;"",M43&lt;&gt;"",N43&lt;&gt;"",O43&lt;&gt;"",P43="已验收"),"是","否")</x:f>
        <x:v>否</x:v>
      </x:c>
      <x:c r="W43" s="72" t="str">
        <x:f>IF(A43="","",IF(V43="是","完整","缺少必填指标或未验收"))</x:f>
      </x:c>
    </x:row>
    <x:row r="44" ht="36" customHeight="1">
      <x:c r="A44" s="65"/>
      <x:c r="B44" s="65"/>
      <x:c r="C44" s="65"/>
      <x:c r="D44" s="65"/>
      <x:c r="E44" s="65"/>
      <x:c r="F44" s="65"/>
      <x:c r="G44" s="65"/>
      <x:c r="H44" s="75"/>
      <x:c r="I44" s="75"/>
      <x:c r="J44" s="75"/>
      <x:c r="K44" s="78"/>
      <x:c r="L44" s="78"/>
      <x:c r="M44" s="78"/>
      <x:c r="N44" s="78"/>
      <x:c r="O44" s="65"/>
      <x:c r="P44" s="65"/>
      <x:c r="Q44" s="65"/>
      <x:c r="R44" s="65"/>
      <x:c r="S44" s="81" t="str">
        <x:f>IF(OR(H44="",I44=""),"",'指标定义'!$I$3*(I44-H44))</x:f>
      </x:c>
      <x:c r="T44" s="81" t="str">
        <x:f>IF(OR(H44="",J44=""),"",'指标定义'!$I$3*(J44-H44))</x:f>
      </x:c>
      <x:c r="U44" s="84" t="str">
        <x:f>IF(M44="","",IF(M44=0,0,N44/M44))</x:f>
      </x:c>
      <x:c r="V44" s="72" t="str">
        <x:f>IF(AND(A44&lt;&gt;"",H44&lt;&gt;"",I44&lt;&gt;"",J44&lt;&gt;"",K44&lt;&gt;"",L44&lt;&gt;"",M44&lt;&gt;"",N44&lt;&gt;"",O44&lt;&gt;"",P44="已验收"),"是","否")</x:f>
        <x:v>否</x:v>
      </x:c>
      <x:c r="W44" s="72" t="str">
        <x:f>IF(A44="","",IF(V44="是","完整","缺少必填指标或未验收"))</x:f>
      </x:c>
    </x:row>
    <x:row r="45" ht="36" customHeight="1">
      <x:c r="A45" s="65"/>
      <x:c r="B45" s="65"/>
      <x:c r="C45" s="65"/>
      <x:c r="D45" s="65"/>
      <x:c r="E45" s="65"/>
      <x:c r="F45" s="65"/>
      <x:c r="G45" s="65"/>
      <x:c r="H45" s="75"/>
      <x:c r="I45" s="75"/>
      <x:c r="J45" s="75"/>
      <x:c r="K45" s="78"/>
      <x:c r="L45" s="78"/>
      <x:c r="M45" s="78"/>
      <x:c r="N45" s="78"/>
      <x:c r="O45" s="65"/>
      <x:c r="P45" s="65"/>
      <x:c r="Q45" s="65"/>
      <x:c r="R45" s="65"/>
      <x:c r="S45" s="81" t="str">
        <x:f>IF(OR(H45="",I45=""),"",'指标定义'!$I$3*(I45-H45))</x:f>
      </x:c>
      <x:c r="T45" s="81" t="str">
        <x:f>IF(OR(H45="",J45=""),"",'指标定义'!$I$3*(J45-H45))</x:f>
      </x:c>
      <x:c r="U45" s="84" t="str">
        <x:f>IF(M45="","",IF(M45=0,0,N45/M45))</x:f>
      </x:c>
      <x:c r="V45" s="72" t="str">
        <x:f>IF(AND(A45&lt;&gt;"",H45&lt;&gt;"",I45&lt;&gt;"",J45&lt;&gt;"",K45&lt;&gt;"",L45&lt;&gt;"",M45&lt;&gt;"",N45&lt;&gt;"",O45&lt;&gt;"",P45="已验收"),"是","否")</x:f>
        <x:v>否</x:v>
      </x:c>
      <x:c r="W45" s="72" t="str">
        <x:f>IF(A45="","",IF(V45="是","完整","缺少必填指标或未验收"))</x:f>
      </x:c>
    </x:row>
    <x:row r="46" ht="36" customHeight="1">
      <x:c r="A46" s="65"/>
      <x:c r="B46" s="65"/>
      <x:c r="C46" s="65"/>
      <x:c r="D46" s="65"/>
      <x:c r="E46" s="65"/>
      <x:c r="F46" s="65"/>
      <x:c r="G46" s="65"/>
      <x:c r="H46" s="75"/>
      <x:c r="I46" s="75"/>
      <x:c r="J46" s="75"/>
      <x:c r="K46" s="78"/>
      <x:c r="L46" s="78"/>
      <x:c r="M46" s="78"/>
      <x:c r="N46" s="78"/>
      <x:c r="O46" s="65"/>
      <x:c r="P46" s="65"/>
      <x:c r="Q46" s="65"/>
      <x:c r="R46" s="65"/>
      <x:c r="S46" s="81" t="str">
        <x:f>IF(OR(H46="",I46=""),"",'指标定义'!$I$3*(I46-H46))</x:f>
      </x:c>
      <x:c r="T46" s="81" t="str">
        <x:f>IF(OR(H46="",J46=""),"",'指标定义'!$I$3*(J46-H46))</x:f>
      </x:c>
      <x:c r="U46" s="84" t="str">
        <x:f>IF(M46="","",IF(M46=0,0,N46/M46))</x:f>
      </x:c>
      <x:c r="V46" s="72" t="str">
        <x:f>IF(AND(A46&lt;&gt;"",H46&lt;&gt;"",I46&lt;&gt;"",J46&lt;&gt;"",K46&lt;&gt;"",L46&lt;&gt;"",M46&lt;&gt;"",N46&lt;&gt;"",O46&lt;&gt;"",P46="已验收"),"是","否")</x:f>
        <x:v>否</x:v>
      </x:c>
      <x:c r="W46" s="72" t="str">
        <x:f>IF(A46="","",IF(V46="是","完整","缺少必填指标或未验收"))</x:f>
      </x:c>
    </x:row>
    <x:row r="47" ht="36" customHeight="1">
      <x:c r="A47" s="65"/>
      <x:c r="B47" s="65"/>
      <x:c r="C47" s="65"/>
      <x:c r="D47" s="65"/>
      <x:c r="E47" s="65"/>
      <x:c r="F47" s="65"/>
      <x:c r="G47" s="65"/>
      <x:c r="H47" s="75"/>
      <x:c r="I47" s="75"/>
      <x:c r="J47" s="75"/>
      <x:c r="K47" s="78"/>
      <x:c r="L47" s="78"/>
      <x:c r="M47" s="78"/>
      <x:c r="N47" s="78"/>
      <x:c r="O47" s="65"/>
      <x:c r="P47" s="65"/>
      <x:c r="Q47" s="65"/>
      <x:c r="R47" s="65"/>
      <x:c r="S47" s="81" t="str">
        <x:f>IF(OR(H47="",I47=""),"",'指标定义'!$I$3*(I47-H47))</x:f>
      </x:c>
      <x:c r="T47" s="81" t="str">
        <x:f>IF(OR(H47="",J47=""),"",'指标定义'!$I$3*(J47-H47))</x:f>
      </x:c>
      <x:c r="U47" s="84" t="str">
        <x:f>IF(M47="","",IF(M47=0,0,N47/M47))</x:f>
      </x:c>
      <x:c r="V47" s="72" t="str">
        <x:f>IF(AND(A47&lt;&gt;"",H47&lt;&gt;"",I47&lt;&gt;"",J47&lt;&gt;"",K47&lt;&gt;"",L47&lt;&gt;"",M47&lt;&gt;"",N47&lt;&gt;"",O47&lt;&gt;"",P47="已验收"),"是","否")</x:f>
        <x:v>否</x:v>
      </x:c>
      <x:c r="W47" s="72" t="str">
        <x:f>IF(A47="","",IF(V47="是","完整","缺少必填指标或未验收"))</x:f>
      </x:c>
    </x:row>
    <x:row r="48" ht="36" customHeight="1">
      <x:c r="A48" s="65"/>
      <x:c r="B48" s="65"/>
      <x:c r="C48" s="65"/>
      <x:c r="D48" s="65"/>
      <x:c r="E48" s="65"/>
      <x:c r="F48" s="65"/>
      <x:c r="G48" s="65"/>
      <x:c r="H48" s="75"/>
      <x:c r="I48" s="75"/>
      <x:c r="J48" s="75"/>
      <x:c r="K48" s="78"/>
      <x:c r="L48" s="78"/>
      <x:c r="M48" s="78"/>
      <x:c r="N48" s="78"/>
      <x:c r="O48" s="65"/>
      <x:c r="P48" s="65"/>
      <x:c r="Q48" s="65"/>
      <x:c r="R48" s="65"/>
      <x:c r="S48" s="81" t="str">
        <x:f>IF(OR(H48="",I48=""),"",'指标定义'!$I$3*(I48-H48))</x:f>
      </x:c>
      <x:c r="T48" s="81" t="str">
        <x:f>IF(OR(H48="",J48=""),"",'指标定义'!$I$3*(J48-H48))</x:f>
      </x:c>
      <x:c r="U48" s="84" t="str">
        <x:f>IF(M48="","",IF(M48=0,0,N48/M48))</x:f>
      </x:c>
      <x:c r="V48" s="72" t="str">
        <x:f>IF(AND(A48&lt;&gt;"",H48&lt;&gt;"",I48&lt;&gt;"",J48&lt;&gt;"",K48&lt;&gt;"",L48&lt;&gt;"",M48&lt;&gt;"",N48&lt;&gt;"",O48&lt;&gt;"",P48="已验收"),"是","否")</x:f>
        <x:v>否</x:v>
      </x:c>
      <x:c r="W48" s="72" t="str">
        <x:f>IF(A48="","",IF(V48="是","完整","缺少必填指标或未验收"))</x:f>
      </x:c>
    </x:row>
    <x:row r="49" ht="36" customHeight="1">
      <x:c r="A49" s="65"/>
      <x:c r="B49" s="65"/>
      <x:c r="C49" s="65"/>
      <x:c r="D49" s="65"/>
      <x:c r="E49" s="65"/>
      <x:c r="F49" s="65"/>
      <x:c r="G49" s="65"/>
      <x:c r="H49" s="75"/>
      <x:c r="I49" s="75"/>
      <x:c r="J49" s="75"/>
      <x:c r="K49" s="78"/>
      <x:c r="L49" s="78"/>
      <x:c r="M49" s="78"/>
      <x:c r="N49" s="78"/>
      <x:c r="O49" s="65"/>
      <x:c r="P49" s="65"/>
      <x:c r="Q49" s="65"/>
      <x:c r="R49" s="65"/>
      <x:c r="S49" s="81" t="str">
        <x:f>IF(OR(H49="",I49=""),"",'指标定义'!$I$3*(I49-H49))</x:f>
      </x:c>
      <x:c r="T49" s="81" t="str">
        <x:f>IF(OR(H49="",J49=""),"",'指标定义'!$I$3*(J49-H49))</x:f>
      </x:c>
      <x:c r="U49" s="84" t="str">
        <x:f>IF(M49="","",IF(M49=0,0,N49/M49))</x:f>
      </x:c>
      <x:c r="V49" s="72" t="str">
        <x:f>IF(AND(A49&lt;&gt;"",H49&lt;&gt;"",I49&lt;&gt;"",J49&lt;&gt;"",K49&lt;&gt;"",L49&lt;&gt;"",M49&lt;&gt;"",N49&lt;&gt;"",O49&lt;&gt;"",P49="已验收"),"是","否")</x:f>
        <x:v>否</x:v>
      </x:c>
      <x:c r="W49" s="72" t="str">
        <x:f>IF(A49="","",IF(V49="是","完整","缺少必填指标或未验收"))</x:f>
      </x:c>
    </x:row>
    <x:row r="50" ht="36" customHeight="1">
      <x:c r="A50" s="65"/>
      <x:c r="B50" s="65"/>
      <x:c r="C50" s="65"/>
      <x:c r="D50" s="65"/>
      <x:c r="E50" s="65"/>
      <x:c r="F50" s="65"/>
      <x:c r="G50" s="65"/>
      <x:c r="H50" s="75"/>
      <x:c r="I50" s="75"/>
      <x:c r="J50" s="75"/>
      <x:c r="K50" s="78"/>
      <x:c r="L50" s="78"/>
      <x:c r="M50" s="78"/>
      <x:c r="N50" s="78"/>
      <x:c r="O50" s="65"/>
      <x:c r="P50" s="65"/>
      <x:c r="Q50" s="65"/>
      <x:c r="R50" s="65"/>
      <x:c r="S50" s="81" t="str">
        <x:f>IF(OR(H50="",I50=""),"",'指标定义'!$I$3*(I50-H50))</x:f>
      </x:c>
      <x:c r="T50" s="81" t="str">
        <x:f>IF(OR(H50="",J50=""),"",'指标定义'!$I$3*(J50-H50))</x:f>
      </x:c>
      <x:c r="U50" s="84" t="str">
        <x:f>IF(M50="","",IF(M50=0,0,N50/M50))</x:f>
      </x:c>
      <x:c r="V50" s="72" t="str">
        <x:f>IF(AND(A50&lt;&gt;"",H50&lt;&gt;"",I50&lt;&gt;"",J50&lt;&gt;"",K50&lt;&gt;"",L50&lt;&gt;"",M50&lt;&gt;"",N50&lt;&gt;"",O50&lt;&gt;"",P50="已验收"),"是","否")</x:f>
        <x:v>否</x:v>
      </x:c>
      <x:c r="W50" s="72" t="str">
        <x:f>IF(A50="","",IF(V50="是","完整","缺少必填指标或未验收"))</x:f>
      </x:c>
    </x:row>
    <x:row r="51" ht="36" customHeight="1">
      <x:c r="A51" s="65"/>
      <x:c r="B51" s="65"/>
      <x:c r="C51" s="65"/>
      <x:c r="D51" s="65"/>
      <x:c r="E51" s="65"/>
      <x:c r="F51" s="65"/>
      <x:c r="G51" s="65"/>
      <x:c r="H51" s="75"/>
      <x:c r="I51" s="75"/>
      <x:c r="J51" s="75"/>
      <x:c r="K51" s="78"/>
      <x:c r="L51" s="78"/>
      <x:c r="M51" s="78"/>
      <x:c r="N51" s="78"/>
      <x:c r="O51" s="65"/>
      <x:c r="P51" s="65"/>
      <x:c r="Q51" s="65"/>
      <x:c r="R51" s="65"/>
      <x:c r="S51" s="81" t="str">
        <x:f>IF(OR(H51="",I51=""),"",'指标定义'!$I$3*(I51-H51))</x:f>
      </x:c>
      <x:c r="T51" s="81" t="str">
        <x:f>IF(OR(H51="",J51=""),"",'指标定义'!$I$3*(J51-H51))</x:f>
      </x:c>
      <x:c r="U51" s="84" t="str">
        <x:f>IF(M51="","",IF(M51=0,0,N51/M51))</x:f>
      </x:c>
      <x:c r="V51" s="72" t="str">
        <x:f>IF(AND(A51&lt;&gt;"",H51&lt;&gt;"",I51&lt;&gt;"",J51&lt;&gt;"",K51&lt;&gt;"",L51&lt;&gt;"",M51&lt;&gt;"",N51&lt;&gt;"",O51&lt;&gt;"",P51="已验收"),"是","否")</x:f>
        <x:v>否</x:v>
      </x:c>
      <x:c r="W51" s="72" t="str">
        <x:f>IF(A51="","",IF(V51="是","完整","缺少必填指标或未验收"))</x:f>
      </x:c>
    </x:row>
    <x:row r="52" ht="36" customHeight="1">
      <x:c r="A52" s="65"/>
      <x:c r="B52" s="65"/>
      <x:c r="C52" s="65"/>
      <x:c r="D52" s="65"/>
      <x:c r="E52" s="65"/>
      <x:c r="F52" s="65"/>
      <x:c r="G52" s="65"/>
      <x:c r="H52" s="75"/>
      <x:c r="I52" s="75"/>
      <x:c r="J52" s="75"/>
      <x:c r="K52" s="78"/>
      <x:c r="L52" s="78"/>
      <x:c r="M52" s="78"/>
      <x:c r="N52" s="78"/>
      <x:c r="O52" s="65"/>
      <x:c r="P52" s="65"/>
      <x:c r="Q52" s="65"/>
      <x:c r="R52" s="65"/>
      <x:c r="S52" s="81" t="str">
        <x:f>IF(OR(H52="",I52=""),"",'指标定义'!$I$3*(I52-H52))</x:f>
      </x:c>
      <x:c r="T52" s="81" t="str">
        <x:f>IF(OR(H52="",J52=""),"",'指标定义'!$I$3*(J52-H52))</x:f>
      </x:c>
      <x:c r="U52" s="84" t="str">
        <x:f>IF(M52="","",IF(M52=0,0,N52/M52))</x:f>
      </x:c>
      <x:c r="V52" s="72" t="str">
        <x:f>IF(AND(A52&lt;&gt;"",H52&lt;&gt;"",I52&lt;&gt;"",J52&lt;&gt;"",K52&lt;&gt;"",L52&lt;&gt;"",M52&lt;&gt;"",N52&lt;&gt;"",O52&lt;&gt;"",P52="已验收"),"是","否")</x:f>
        <x:v>否</x:v>
      </x:c>
      <x:c r="W52" s="72" t="str">
        <x:f>IF(A52="","",IF(V52="是","完整","缺少必填指标或未验收"))</x:f>
      </x:c>
    </x:row>
    <x:row r="53" ht="36" customHeight="1">
      <x:c r="A53" s="65"/>
      <x:c r="B53" s="65"/>
      <x:c r="C53" s="65"/>
      <x:c r="D53" s="65"/>
      <x:c r="E53" s="65"/>
      <x:c r="F53" s="65"/>
      <x:c r="G53" s="65"/>
      <x:c r="H53" s="75"/>
      <x:c r="I53" s="75"/>
      <x:c r="J53" s="75"/>
      <x:c r="K53" s="78"/>
      <x:c r="L53" s="78"/>
      <x:c r="M53" s="78"/>
      <x:c r="N53" s="78"/>
      <x:c r="O53" s="65"/>
      <x:c r="P53" s="65"/>
      <x:c r="Q53" s="65"/>
      <x:c r="R53" s="65"/>
      <x:c r="S53" s="81" t="str">
        <x:f>IF(OR(H53="",I53=""),"",'指标定义'!$I$3*(I53-H53))</x:f>
      </x:c>
      <x:c r="T53" s="81" t="str">
        <x:f>IF(OR(H53="",J53=""),"",'指标定义'!$I$3*(J53-H53))</x:f>
      </x:c>
      <x:c r="U53" s="84" t="str">
        <x:f>IF(M53="","",IF(M53=0,0,N53/M53))</x:f>
      </x:c>
      <x:c r="V53" s="72" t="str">
        <x:f>IF(AND(A53&lt;&gt;"",H53&lt;&gt;"",I53&lt;&gt;"",J53&lt;&gt;"",K53&lt;&gt;"",L53&lt;&gt;"",M53&lt;&gt;"",N53&lt;&gt;"",O53&lt;&gt;"",P53="已验收"),"是","否")</x:f>
        <x:v>否</x:v>
      </x:c>
      <x:c r="W53" s="72" t="str">
        <x:f>IF(A53="","",IF(V53="是","完整","缺少必填指标或未验收"))</x:f>
      </x:c>
    </x:row>
    <x:row r="54" ht="36" customHeight="1">
      <x:c r="A54" s="65"/>
      <x:c r="B54" s="65"/>
      <x:c r="C54" s="65"/>
      <x:c r="D54" s="65"/>
      <x:c r="E54" s="65"/>
      <x:c r="F54" s="65"/>
      <x:c r="G54" s="65"/>
      <x:c r="H54" s="75"/>
      <x:c r="I54" s="75"/>
      <x:c r="J54" s="75"/>
      <x:c r="K54" s="78"/>
      <x:c r="L54" s="78"/>
      <x:c r="M54" s="78"/>
      <x:c r="N54" s="78"/>
      <x:c r="O54" s="65"/>
      <x:c r="P54" s="65"/>
      <x:c r="Q54" s="65"/>
      <x:c r="R54" s="65"/>
      <x:c r="S54" s="81" t="str">
        <x:f>IF(OR(H54="",I54=""),"",'指标定义'!$I$3*(I54-H54))</x:f>
      </x:c>
      <x:c r="T54" s="81" t="str">
        <x:f>IF(OR(H54="",J54=""),"",'指标定义'!$I$3*(J54-H54))</x:f>
      </x:c>
      <x:c r="U54" s="84" t="str">
        <x:f>IF(M54="","",IF(M54=0,0,N54/M54))</x:f>
      </x:c>
      <x:c r="V54" s="72" t="str">
        <x:f>IF(AND(A54&lt;&gt;"",H54&lt;&gt;"",I54&lt;&gt;"",J54&lt;&gt;"",K54&lt;&gt;"",L54&lt;&gt;"",M54&lt;&gt;"",N54&lt;&gt;"",O54&lt;&gt;"",P54="已验收"),"是","否")</x:f>
        <x:v>否</x:v>
      </x:c>
      <x:c r="W54" s="72" t="str">
        <x:f>IF(A54="","",IF(V54="是","完整","缺少必填指标或未验收"))</x:f>
      </x:c>
    </x:row>
    <x:row r="55" ht="36" customHeight="1">
      <x:c r="A55" s="65"/>
      <x:c r="B55" s="65"/>
      <x:c r="C55" s="65"/>
      <x:c r="D55" s="65"/>
      <x:c r="E55" s="65"/>
      <x:c r="F55" s="65"/>
      <x:c r="G55" s="65"/>
      <x:c r="H55" s="75"/>
      <x:c r="I55" s="75"/>
      <x:c r="J55" s="75"/>
      <x:c r="K55" s="78"/>
      <x:c r="L55" s="78"/>
      <x:c r="M55" s="78"/>
      <x:c r="N55" s="78"/>
      <x:c r="O55" s="65"/>
      <x:c r="P55" s="65"/>
      <x:c r="Q55" s="65"/>
      <x:c r="R55" s="65"/>
      <x:c r="S55" s="81" t="str">
        <x:f>IF(OR(H55="",I55=""),"",'指标定义'!$I$3*(I55-H55))</x:f>
      </x:c>
      <x:c r="T55" s="81" t="str">
        <x:f>IF(OR(H55="",J55=""),"",'指标定义'!$I$3*(J55-H55))</x:f>
      </x:c>
      <x:c r="U55" s="84" t="str">
        <x:f>IF(M55="","",IF(M55=0,0,N55/M55))</x:f>
      </x:c>
      <x:c r="V55" s="72" t="str">
        <x:f>IF(AND(A55&lt;&gt;"",H55&lt;&gt;"",I55&lt;&gt;"",J55&lt;&gt;"",K55&lt;&gt;"",L55&lt;&gt;"",M55&lt;&gt;"",N55&lt;&gt;"",O55&lt;&gt;"",P55="已验收"),"是","否")</x:f>
        <x:v>否</x:v>
      </x:c>
      <x:c r="W55" s="72" t="str">
        <x:f>IF(A55="","",IF(V55="是","完整","缺少必填指标或未验收"))</x:f>
      </x:c>
    </x:row>
    <x:row r="56" ht="36" customHeight="1">
      <x:c r="A56" s="65"/>
      <x:c r="B56" s="65"/>
      <x:c r="C56" s="65"/>
      <x:c r="D56" s="65"/>
      <x:c r="E56" s="65"/>
      <x:c r="F56" s="65"/>
      <x:c r="G56" s="65"/>
      <x:c r="H56" s="75"/>
      <x:c r="I56" s="75"/>
      <x:c r="J56" s="75"/>
      <x:c r="K56" s="78"/>
      <x:c r="L56" s="78"/>
      <x:c r="M56" s="78"/>
      <x:c r="N56" s="78"/>
      <x:c r="O56" s="65"/>
      <x:c r="P56" s="65"/>
      <x:c r="Q56" s="65"/>
      <x:c r="R56" s="65"/>
      <x:c r="S56" s="81" t="str">
        <x:f>IF(OR(H56="",I56=""),"",'指标定义'!$I$3*(I56-H56))</x:f>
      </x:c>
      <x:c r="T56" s="81" t="str">
        <x:f>IF(OR(H56="",J56=""),"",'指标定义'!$I$3*(J56-H56))</x:f>
      </x:c>
      <x:c r="U56" s="84" t="str">
        <x:f>IF(M56="","",IF(M56=0,0,N56/M56))</x:f>
      </x:c>
      <x:c r="V56" s="72" t="str">
        <x:f>IF(AND(A56&lt;&gt;"",H56&lt;&gt;"",I56&lt;&gt;"",J56&lt;&gt;"",K56&lt;&gt;"",L56&lt;&gt;"",M56&lt;&gt;"",N56&lt;&gt;"",O56&lt;&gt;"",P56="已验收"),"是","否")</x:f>
        <x:v>否</x:v>
      </x:c>
      <x:c r="W56" s="72" t="str">
        <x:f>IF(A56="","",IF(V56="是","完整","缺少必填指标或未验收"))</x:f>
      </x:c>
    </x:row>
    <x:row r="57" ht="36" customHeight="1">
      <x:c r="A57" s="65"/>
      <x:c r="B57" s="65"/>
      <x:c r="C57" s="65"/>
      <x:c r="D57" s="65"/>
      <x:c r="E57" s="65"/>
      <x:c r="F57" s="65"/>
      <x:c r="G57" s="65"/>
      <x:c r="H57" s="75"/>
      <x:c r="I57" s="75"/>
      <x:c r="J57" s="75"/>
      <x:c r="K57" s="78"/>
      <x:c r="L57" s="78"/>
      <x:c r="M57" s="78"/>
      <x:c r="N57" s="78"/>
      <x:c r="O57" s="65"/>
      <x:c r="P57" s="65"/>
      <x:c r="Q57" s="65"/>
      <x:c r="R57" s="65"/>
      <x:c r="S57" s="81" t="str">
        <x:f>IF(OR(H57="",I57=""),"",'指标定义'!$I$3*(I57-H57))</x:f>
      </x:c>
      <x:c r="T57" s="81" t="str">
        <x:f>IF(OR(H57="",J57=""),"",'指标定义'!$I$3*(J57-H57))</x:f>
      </x:c>
      <x:c r="U57" s="84" t="str">
        <x:f>IF(M57="","",IF(M57=0,0,N57/M57))</x:f>
      </x:c>
      <x:c r="V57" s="72" t="str">
        <x:f>IF(AND(A57&lt;&gt;"",H57&lt;&gt;"",I57&lt;&gt;"",J57&lt;&gt;"",K57&lt;&gt;"",L57&lt;&gt;"",M57&lt;&gt;"",N57&lt;&gt;"",O57&lt;&gt;"",P57="已验收"),"是","否")</x:f>
        <x:v>否</x:v>
      </x:c>
      <x:c r="W57" s="72" t="str">
        <x:f>IF(A57="","",IF(V57="是","完整","缺少必填指标或未验收"))</x:f>
      </x:c>
    </x:row>
    <x:row r="58" ht="36" customHeight="1">
      <x:c r="A58" s="65"/>
      <x:c r="B58" s="65"/>
      <x:c r="C58" s="65"/>
      <x:c r="D58" s="65"/>
      <x:c r="E58" s="65"/>
      <x:c r="F58" s="65"/>
      <x:c r="G58" s="65"/>
      <x:c r="H58" s="75"/>
      <x:c r="I58" s="75"/>
      <x:c r="J58" s="75"/>
      <x:c r="K58" s="78"/>
      <x:c r="L58" s="78"/>
      <x:c r="M58" s="78"/>
      <x:c r="N58" s="78"/>
      <x:c r="O58" s="65"/>
      <x:c r="P58" s="65"/>
      <x:c r="Q58" s="65"/>
      <x:c r="R58" s="65"/>
      <x:c r="S58" s="81" t="str">
        <x:f>IF(OR(H58="",I58=""),"",'指标定义'!$I$3*(I58-H58))</x:f>
      </x:c>
      <x:c r="T58" s="81" t="str">
        <x:f>IF(OR(H58="",J58=""),"",'指标定义'!$I$3*(J58-H58))</x:f>
      </x:c>
      <x:c r="U58" s="84" t="str">
        <x:f>IF(M58="","",IF(M58=0,0,N58/M58))</x:f>
      </x:c>
      <x:c r="V58" s="72" t="str">
        <x:f>IF(AND(A58&lt;&gt;"",H58&lt;&gt;"",I58&lt;&gt;"",J58&lt;&gt;"",K58&lt;&gt;"",L58&lt;&gt;"",M58&lt;&gt;"",N58&lt;&gt;"",O58&lt;&gt;"",P58="已验收"),"是","否")</x:f>
        <x:v>否</x:v>
      </x:c>
      <x:c r="W58" s="72" t="str">
        <x:f>IF(A58="","",IF(V58="是","完整","缺少必填指标或未验收"))</x:f>
      </x:c>
    </x:row>
    <x:row r="59" ht="36" customHeight="1">
      <x:c r="A59" s="65"/>
      <x:c r="B59" s="65"/>
      <x:c r="C59" s="65"/>
      <x:c r="D59" s="65"/>
      <x:c r="E59" s="65"/>
      <x:c r="F59" s="65"/>
      <x:c r="G59" s="65"/>
      <x:c r="H59" s="75"/>
      <x:c r="I59" s="75"/>
      <x:c r="J59" s="75"/>
      <x:c r="K59" s="78"/>
      <x:c r="L59" s="78"/>
      <x:c r="M59" s="78"/>
      <x:c r="N59" s="78"/>
      <x:c r="O59" s="65"/>
      <x:c r="P59" s="65"/>
      <x:c r="Q59" s="65"/>
      <x:c r="R59" s="65"/>
      <x:c r="S59" s="81" t="str">
        <x:f>IF(OR(H59="",I59=""),"",'指标定义'!$I$3*(I59-H59))</x:f>
      </x:c>
      <x:c r="T59" s="81" t="str">
        <x:f>IF(OR(H59="",J59=""),"",'指标定义'!$I$3*(J59-H59))</x:f>
      </x:c>
      <x:c r="U59" s="84" t="str">
        <x:f>IF(M59="","",IF(M59=0,0,N59/M59))</x:f>
      </x:c>
      <x:c r="V59" s="72" t="str">
        <x:f>IF(AND(A59&lt;&gt;"",H59&lt;&gt;"",I59&lt;&gt;"",J59&lt;&gt;"",K59&lt;&gt;"",L59&lt;&gt;"",M59&lt;&gt;"",N59&lt;&gt;"",O59&lt;&gt;"",P59="已验收"),"是","否")</x:f>
        <x:v>否</x:v>
      </x:c>
      <x:c r="W59" s="72" t="str">
        <x:f>IF(A59="","",IF(V59="是","完整","缺少必填指标或未验收"))</x:f>
      </x:c>
    </x:row>
    <x:row r="60" ht="36" customHeight="1">
      <x:c r="A60" s="65"/>
      <x:c r="B60" s="65"/>
      <x:c r="C60" s="65"/>
      <x:c r="D60" s="65"/>
      <x:c r="E60" s="65"/>
      <x:c r="F60" s="65"/>
      <x:c r="G60" s="65"/>
      <x:c r="H60" s="75"/>
      <x:c r="I60" s="75"/>
      <x:c r="J60" s="75"/>
      <x:c r="K60" s="78"/>
      <x:c r="L60" s="78"/>
      <x:c r="M60" s="78"/>
      <x:c r="N60" s="78"/>
      <x:c r="O60" s="65"/>
      <x:c r="P60" s="65"/>
      <x:c r="Q60" s="65"/>
      <x:c r="R60" s="65"/>
      <x:c r="S60" s="81" t="str">
        <x:f>IF(OR(H60="",I60=""),"",'指标定义'!$I$3*(I60-H60))</x:f>
      </x:c>
      <x:c r="T60" s="81" t="str">
        <x:f>IF(OR(H60="",J60=""),"",'指标定义'!$I$3*(J60-H60))</x:f>
      </x:c>
      <x:c r="U60" s="84" t="str">
        <x:f>IF(M60="","",IF(M60=0,0,N60/M60))</x:f>
      </x:c>
      <x:c r="V60" s="72" t="str">
        <x:f>IF(AND(A60&lt;&gt;"",H60&lt;&gt;"",I60&lt;&gt;"",J60&lt;&gt;"",K60&lt;&gt;"",L60&lt;&gt;"",M60&lt;&gt;"",N60&lt;&gt;"",O60&lt;&gt;"",P60="已验收"),"是","否")</x:f>
        <x:v>否</x:v>
      </x:c>
      <x:c r="W60" s="72" t="str">
        <x:f>IF(A60="","",IF(V60="是","完整","缺少必填指标或未验收"))</x:f>
      </x:c>
    </x:row>
    <x:row r="61" ht="36" customHeight="1">
      <x:c r="A61" s="65"/>
      <x:c r="B61" s="65"/>
      <x:c r="C61" s="65"/>
      <x:c r="D61" s="65"/>
      <x:c r="E61" s="65"/>
      <x:c r="F61" s="65"/>
      <x:c r="G61" s="65"/>
      <x:c r="H61" s="75"/>
      <x:c r="I61" s="75"/>
      <x:c r="J61" s="75"/>
      <x:c r="K61" s="78"/>
      <x:c r="L61" s="78"/>
      <x:c r="M61" s="78"/>
      <x:c r="N61" s="78"/>
      <x:c r="O61" s="65"/>
      <x:c r="P61" s="65"/>
      <x:c r="Q61" s="65"/>
      <x:c r="R61" s="65"/>
      <x:c r="S61" s="81" t="str">
        <x:f>IF(OR(H61="",I61=""),"",'指标定义'!$I$3*(I61-H61))</x:f>
      </x:c>
      <x:c r="T61" s="81" t="str">
        <x:f>IF(OR(H61="",J61=""),"",'指标定义'!$I$3*(J61-H61))</x:f>
      </x:c>
      <x:c r="U61" s="84" t="str">
        <x:f>IF(M61="","",IF(M61=0,0,N61/M61))</x:f>
      </x:c>
      <x:c r="V61" s="72" t="str">
        <x:f>IF(AND(A61&lt;&gt;"",H61&lt;&gt;"",I61&lt;&gt;"",J61&lt;&gt;"",K61&lt;&gt;"",L61&lt;&gt;"",M61&lt;&gt;"",N61&lt;&gt;"",O61&lt;&gt;"",P61="已验收"),"是","否")</x:f>
        <x:v>否</x:v>
      </x:c>
      <x:c r="W61" s="72" t="str">
        <x:f>IF(A61="","",IF(V61="是","完整","缺少必填指标或未验收"))</x:f>
      </x:c>
    </x:row>
    <x:row r="62" ht="36" customHeight="1">
      <x:c r="A62" s="65"/>
      <x:c r="B62" s="65"/>
      <x:c r="C62" s="65"/>
      <x:c r="D62" s="65"/>
      <x:c r="E62" s="65"/>
      <x:c r="F62" s="65"/>
      <x:c r="G62" s="65"/>
      <x:c r="H62" s="75"/>
      <x:c r="I62" s="75"/>
      <x:c r="J62" s="75"/>
      <x:c r="K62" s="78"/>
      <x:c r="L62" s="78"/>
      <x:c r="M62" s="78"/>
      <x:c r="N62" s="78"/>
      <x:c r="O62" s="65"/>
      <x:c r="P62" s="65"/>
      <x:c r="Q62" s="65"/>
      <x:c r="R62" s="65"/>
      <x:c r="S62" s="81" t="str">
        <x:f>IF(OR(H62="",I62=""),"",'指标定义'!$I$3*(I62-H62))</x:f>
      </x:c>
      <x:c r="T62" s="81" t="str">
        <x:f>IF(OR(H62="",J62=""),"",'指标定义'!$I$3*(J62-H62))</x:f>
      </x:c>
      <x:c r="U62" s="84" t="str">
        <x:f>IF(M62="","",IF(M62=0,0,N62/M62))</x:f>
      </x:c>
      <x:c r="V62" s="72" t="str">
        <x:f>IF(AND(A62&lt;&gt;"",H62&lt;&gt;"",I62&lt;&gt;"",J62&lt;&gt;"",K62&lt;&gt;"",L62&lt;&gt;"",M62&lt;&gt;"",N62&lt;&gt;"",O62&lt;&gt;"",P62="已验收"),"是","否")</x:f>
        <x:v>否</x:v>
      </x:c>
      <x:c r="W62" s="72" t="str">
        <x:f>IF(A62="","",IF(V62="是","完整","缺少必填指标或未验收"))</x:f>
      </x:c>
    </x:row>
    <x:row r="63" ht="36" customHeight="1">
      <x:c r="A63" s="65"/>
      <x:c r="B63" s="65"/>
      <x:c r="C63" s="65"/>
      <x:c r="D63" s="65"/>
      <x:c r="E63" s="65"/>
      <x:c r="F63" s="65"/>
      <x:c r="G63" s="65"/>
      <x:c r="H63" s="75"/>
      <x:c r="I63" s="75"/>
      <x:c r="J63" s="75"/>
      <x:c r="K63" s="78"/>
      <x:c r="L63" s="78"/>
      <x:c r="M63" s="78"/>
      <x:c r="N63" s="78"/>
      <x:c r="O63" s="65"/>
      <x:c r="P63" s="65"/>
      <x:c r="Q63" s="65"/>
      <x:c r="R63" s="65"/>
      <x:c r="S63" s="81" t="str">
        <x:f>IF(OR(H63="",I63=""),"",'指标定义'!$I$3*(I63-H63))</x:f>
      </x:c>
      <x:c r="T63" s="81" t="str">
        <x:f>IF(OR(H63="",J63=""),"",'指标定义'!$I$3*(J63-H63))</x:f>
      </x:c>
      <x:c r="U63" s="84" t="str">
        <x:f>IF(M63="","",IF(M63=0,0,N63/M63))</x:f>
      </x:c>
      <x:c r="V63" s="72" t="str">
        <x:f>IF(AND(A63&lt;&gt;"",H63&lt;&gt;"",I63&lt;&gt;"",J63&lt;&gt;"",K63&lt;&gt;"",L63&lt;&gt;"",M63&lt;&gt;"",N63&lt;&gt;"",O63&lt;&gt;"",P63="已验收"),"是","否")</x:f>
        <x:v>否</x:v>
      </x:c>
      <x:c r="W63" s="72" t="str">
        <x:f>IF(A63="","",IF(V63="是","完整","缺少必填指标或未验收"))</x:f>
      </x:c>
    </x:row>
    <x:row r="64" ht="36" customHeight="1">
      <x:c r="A64" s="65"/>
      <x:c r="B64" s="65"/>
      <x:c r="C64" s="65"/>
      <x:c r="D64" s="65"/>
      <x:c r="E64" s="65"/>
      <x:c r="F64" s="65"/>
      <x:c r="G64" s="65"/>
      <x:c r="H64" s="75"/>
      <x:c r="I64" s="75"/>
      <x:c r="J64" s="75"/>
      <x:c r="K64" s="78"/>
      <x:c r="L64" s="78"/>
      <x:c r="M64" s="78"/>
      <x:c r="N64" s="78"/>
      <x:c r="O64" s="65"/>
      <x:c r="P64" s="65"/>
      <x:c r="Q64" s="65"/>
      <x:c r="R64" s="65"/>
      <x:c r="S64" s="81" t="str">
        <x:f>IF(OR(H64="",I64=""),"",'指标定义'!$I$3*(I64-H64))</x:f>
      </x:c>
      <x:c r="T64" s="81" t="str">
        <x:f>IF(OR(H64="",J64=""),"",'指标定义'!$I$3*(J64-H64))</x:f>
      </x:c>
      <x:c r="U64" s="84" t="str">
        <x:f>IF(M64="","",IF(M64=0,0,N64/M64))</x:f>
      </x:c>
      <x:c r="V64" s="72" t="str">
        <x:f>IF(AND(A64&lt;&gt;"",H64&lt;&gt;"",I64&lt;&gt;"",J64&lt;&gt;"",K64&lt;&gt;"",L64&lt;&gt;"",M64&lt;&gt;"",N64&lt;&gt;"",O64&lt;&gt;"",P64="已验收"),"是","否")</x:f>
        <x:v>否</x:v>
      </x:c>
      <x:c r="W64" s="72" t="str">
        <x:f>IF(A64="","",IF(V64="是","完整","缺少必填指标或未验收"))</x:f>
      </x:c>
    </x:row>
    <x:row r="65" ht="36" customHeight="1">
      <x:c r="A65" s="65"/>
      <x:c r="B65" s="65"/>
      <x:c r="C65" s="65"/>
      <x:c r="D65" s="65"/>
      <x:c r="E65" s="65"/>
      <x:c r="F65" s="65"/>
      <x:c r="G65" s="65"/>
      <x:c r="H65" s="75"/>
      <x:c r="I65" s="75"/>
      <x:c r="J65" s="75"/>
      <x:c r="K65" s="78"/>
      <x:c r="L65" s="78"/>
      <x:c r="M65" s="78"/>
      <x:c r="N65" s="78"/>
      <x:c r="O65" s="65"/>
      <x:c r="P65" s="65"/>
      <x:c r="Q65" s="65"/>
      <x:c r="R65" s="65"/>
      <x:c r="S65" s="81" t="str">
        <x:f>IF(OR(H65="",I65=""),"",'指标定义'!$I$3*(I65-H65))</x:f>
      </x:c>
      <x:c r="T65" s="81" t="str">
        <x:f>IF(OR(H65="",J65=""),"",'指标定义'!$I$3*(J65-H65))</x:f>
      </x:c>
      <x:c r="U65" s="84" t="str">
        <x:f>IF(M65="","",IF(M65=0,0,N65/M65))</x:f>
      </x:c>
      <x:c r="V65" s="72" t="str">
        <x:f>IF(AND(A65&lt;&gt;"",H65&lt;&gt;"",I65&lt;&gt;"",J65&lt;&gt;"",K65&lt;&gt;"",L65&lt;&gt;"",M65&lt;&gt;"",N65&lt;&gt;"",O65&lt;&gt;"",P65="已验收"),"是","否")</x:f>
        <x:v>否</x:v>
      </x:c>
      <x:c r="W65" s="72" t="str">
        <x:f>IF(A65="","",IF(V65="是","完整","缺少必填指标或未验收"))</x:f>
      </x:c>
    </x:row>
    <x:row r="66" ht="36" customHeight="1">
      <x:c r="A66" s="65"/>
      <x:c r="B66" s="65"/>
      <x:c r="C66" s="65"/>
      <x:c r="D66" s="65"/>
      <x:c r="E66" s="65"/>
      <x:c r="F66" s="65"/>
      <x:c r="G66" s="65"/>
      <x:c r="H66" s="75"/>
      <x:c r="I66" s="75"/>
      <x:c r="J66" s="75"/>
      <x:c r="K66" s="78"/>
      <x:c r="L66" s="78"/>
      <x:c r="M66" s="78"/>
      <x:c r="N66" s="78"/>
      <x:c r="O66" s="65"/>
      <x:c r="P66" s="65"/>
      <x:c r="Q66" s="65"/>
      <x:c r="R66" s="65"/>
      <x:c r="S66" s="81" t="str">
        <x:f>IF(OR(H66="",I66=""),"",'指标定义'!$I$3*(I66-H66))</x:f>
      </x:c>
      <x:c r="T66" s="81" t="str">
        <x:f>IF(OR(H66="",J66=""),"",'指标定义'!$I$3*(J66-H66))</x:f>
      </x:c>
      <x:c r="U66" s="84" t="str">
        <x:f>IF(M66="","",IF(M66=0,0,N66/M66))</x:f>
      </x:c>
      <x:c r="V66" s="72" t="str">
        <x:f>IF(AND(A66&lt;&gt;"",H66&lt;&gt;"",I66&lt;&gt;"",J66&lt;&gt;"",K66&lt;&gt;"",L66&lt;&gt;"",M66&lt;&gt;"",N66&lt;&gt;"",O66&lt;&gt;"",P66="已验收"),"是","否")</x:f>
        <x:v>否</x:v>
      </x:c>
      <x:c r="W66" s="72" t="str">
        <x:f>IF(A66="","",IF(V66="是","完整","缺少必填指标或未验收"))</x:f>
      </x:c>
    </x:row>
    <x:row r="67" ht="36" customHeight="1">
      <x:c r="A67" s="65"/>
      <x:c r="B67" s="65"/>
      <x:c r="C67" s="65"/>
      <x:c r="D67" s="65"/>
      <x:c r="E67" s="65"/>
      <x:c r="F67" s="65"/>
      <x:c r="G67" s="65"/>
      <x:c r="H67" s="75"/>
      <x:c r="I67" s="75"/>
      <x:c r="J67" s="75"/>
      <x:c r="K67" s="78"/>
      <x:c r="L67" s="78"/>
      <x:c r="M67" s="78"/>
      <x:c r="N67" s="78"/>
      <x:c r="O67" s="65"/>
      <x:c r="P67" s="65"/>
      <x:c r="Q67" s="65"/>
      <x:c r="R67" s="65"/>
      <x:c r="S67" s="81" t="str">
        <x:f>IF(OR(H67="",I67=""),"",'指标定义'!$I$3*(I67-H67))</x:f>
      </x:c>
      <x:c r="T67" s="81" t="str">
        <x:f>IF(OR(H67="",J67=""),"",'指标定义'!$I$3*(J67-H67))</x:f>
      </x:c>
      <x:c r="U67" s="84" t="str">
        <x:f>IF(M67="","",IF(M67=0,0,N67/M67))</x:f>
      </x:c>
      <x:c r="V67" s="72" t="str">
        <x:f>IF(AND(A67&lt;&gt;"",H67&lt;&gt;"",I67&lt;&gt;"",J67&lt;&gt;"",K67&lt;&gt;"",L67&lt;&gt;"",M67&lt;&gt;"",N67&lt;&gt;"",O67&lt;&gt;"",P67="已验收"),"是","否")</x:f>
        <x:v>否</x:v>
      </x:c>
      <x:c r="W67" s="72" t="str">
        <x:f>IF(A67="","",IF(V67="是","完整","缺少必填指标或未验收"))</x:f>
      </x:c>
    </x:row>
    <x:row r="68" ht="36" customHeight="1">
      <x:c r="A68" s="65"/>
      <x:c r="B68" s="65"/>
      <x:c r="C68" s="65"/>
      <x:c r="D68" s="65"/>
      <x:c r="E68" s="65"/>
      <x:c r="F68" s="65"/>
      <x:c r="G68" s="65"/>
      <x:c r="H68" s="75"/>
      <x:c r="I68" s="75"/>
      <x:c r="J68" s="75"/>
      <x:c r="K68" s="78"/>
      <x:c r="L68" s="78"/>
      <x:c r="M68" s="78"/>
      <x:c r="N68" s="78"/>
      <x:c r="O68" s="65"/>
      <x:c r="P68" s="65"/>
      <x:c r="Q68" s="65"/>
      <x:c r="R68" s="65"/>
      <x:c r="S68" s="81" t="str">
        <x:f>IF(OR(H68="",I68=""),"",'指标定义'!$I$3*(I68-H68))</x:f>
      </x:c>
      <x:c r="T68" s="81" t="str">
        <x:f>IF(OR(H68="",J68=""),"",'指标定义'!$I$3*(J68-H68))</x:f>
      </x:c>
      <x:c r="U68" s="84" t="str">
        <x:f>IF(M68="","",IF(M68=0,0,N68/M68))</x:f>
      </x:c>
      <x:c r="V68" s="72" t="str">
        <x:f>IF(AND(A68&lt;&gt;"",H68&lt;&gt;"",I68&lt;&gt;"",J68&lt;&gt;"",K68&lt;&gt;"",L68&lt;&gt;"",M68&lt;&gt;"",N68&lt;&gt;"",O68&lt;&gt;"",P68="已验收"),"是","否")</x:f>
        <x:v>否</x:v>
      </x:c>
      <x:c r="W68" s="72" t="str">
        <x:f>IF(A68="","",IF(V68="是","完整","缺少必填指标或未验收"))</x:f>
      </x:c>
    </x:row>
    <x:row r="69" ht="36" customHeight="1">
      <x:c r="A69" s="65"/>
      <x:c r="B69" s="65"/>
      <x:c r="C69" s="65"/>
      <x:c r="D69" s="65"/>
      <x:c r="E69" s="65"/>
      <x:c r="F69" s="65"/>
      <x:c r="G69" s="65"/>
      <x:c r="H69" s="75"/>
      <x:c r="I69" s="75"/>
      <x:c r="J69" s="75"/>
      <x:c r="K69" s="78"/>
      <x:c r="L69" s="78"/>
      <x:c r="M69" s="78"/>
      <x:c r="N69" s="78"/>
      <x:c r="O69" s="65"/>
      <x:c r="P69" s="65"/>
      <x:c r="Q69" s="65"/>
      <x:c r="R69" s="65"/>
      <x:c r="S69" s="81" t="str">
        <x:f>IF(OR(H69="",I69=""),"",'指标定义'!$I$3*(I69-H69))</x:f>
      </x:c>
      <x:c r="T69" s="81" t="str">
        <x:f>IF(OR(H69="",J69=""),"",'指标定义'!$I$3*(J69-H69))</x:f>
      </x:c>
      <x:c r="U69" s="84" t="str">
        <x:f>IF(M69="","",IF(M69=0,0,N69/M69))</x:f>
      </x:c>
      <x:c r="V69" s="72" t="str">
        <x:f>IF(AND(A69&lt;&gt;"",H69&lt;&gt;"",I69&lt;&gt;"",J69&lt;&gt;"",K69&lt;&gt;"",L69&lt;&gt;"",M69&lt;&gt;"",N69&lt;&gt;"",O69&lt;&gt;"",P69="已验收"),"是","否")</x:f>
        <x:v>否</x:v>
      </x:c>
      <x:c r="W69" s="72" t="str">
        <x:f>IF(A69="","",IF(V69="是","完整","缺少必填指标或未验收"))</x:f>
      </x:c>
    </x:row>
    <x:row r="70" ht="36" customHeight="1">
      <x:c r="A70" s="65"/>
      <x:c r="B70" s="65"/>
      <x:c r="C70" s="65"/>
      <x:c r="D70" s="65"/>
      <x:c r="E70" s="65"/>
      <x:c r="F70" s="65"/>
      <x:c r="G70" s="65"/>
      <x:c r="H70" s="75"/>
      <x:c r="I70" s="75"/>
      <x:c r="J70" s="75"/>
      <x:c r="K70" s="78"/>
      <x:c r="L70" s="78"/>
      <x:c r="M70" s="78"/>
      <x:c r="N70" s="78"/>
      <x:c r="O70" s="65"/>
      <x:c r="P70" s="65"/>
      <x:c r="Q70" s="65"/>
      <x:c r="R70" s="65"/>
      <x:c r="S70" s="81" t="str">
        <x:f>IF(OR(H70="",I70=""),"",'指标定义'!$I$3*(I70-H70))</x:f>
      </x:c>
      <x:c r="T70" s="81" t="str">
        <x:f>IF(OR(H70="",J70=""),"",'指标定义'!$I$3*(J70-H70))</x:f>
      </x:c>
      <x:c r="U70" s="84" t="str">
        <x:f>IF(M70="","",IF(M70=0,0,N70/M70))</x:f>
      </x:c>
      <x:c r="V70" s="72" t="str">
        <x:f>IF(AND(A70&lt;&gt;"",H70&lt;&gt;"",I70&lt;&gt;"",J70&lt;&gt;"",K70&lt;&gt;"",L70&lt;&gt;"",M70&lt;&gt;"",N70&lt;&gt;"",O70&lt;&gt;"",P70="已验收"),"是","否")</x:f>
        <x:v>否</x:v>
      </x:c>
      <x:c r="W70" s="72" t="str">
        <x:f>IF(A70="","",IF(V70="是","完整","缺少必填指标或未验收"))</x:f>
      </x:c>
    </x:row>
    <x:row r="71" ht="36" customHeight="1">
      <x:c r="A71" s="65"/>
      <x:c r="B71" s="65"/>
      <x:c r="C71" s="65"/>
      <x:c r="D71" s="65"/>
      <x:c r="E71" s="65"/>
      <x:c r="F71" s="65"/>
      <x:c r="G71" s="65"/>
      <x:c r="H71" s="75"/>
      <x:c r="I71" s="75"/>
      <x:c r="J71" s="75"/>
      <x:c r="K71" s="78"/>
      <x:c r="L71" s="78"/>
      <x:c r="M71" s="78"/>
      <x:c r="N71" s="78"/>
      <x:c r="O71" s="65"/>
      <x:c r="P71" s="65"/>
      <x:c r="Q71" s="65"/>
      <x:c r="R71" s="65"/>
      <x:c r="S71" s="81" t="str">
        <x:f>IF(OR(H71="",I71=""),"",'指标定义'!$I$3*(I71-H71))</x:f>
      </x:c>
      <x:c r="T71" s="81" t="str">
        <x:f>IF(OR(H71="",J71=""),"",'指标定义'!$I$3*(J71-H71))</x:f>
      </x:c>
      <x:c r="U71" s="84" t="str">
        <x:f>IF(M71="","",IF(M71=0,0,N71/M71))</x:f>
      </x:c>
      <x:c r="V71" s="72" t="str">
        <x:f>IF(AND(A71&lt;&gt;"",H71&lt;&gt;"",I71&lt;&gt;"",J71&lt;&gt;"",K71&lt;&gt;"",L71&lt;&gt;"",M71&lt;&gt;"",N71&lt;&gt;"",O71&lt;&gt;"",P71="已验收"),"是","否")</x:f>
        <x:v>否</x:v>
      </x:c>
      <x:c r="W71" s="72" t="str">
        <x:f>IF(A71="","",IF(V71="是","完整","缺少必填指标或未验收"))</x:f>
      </x:c>
    </x:row>
    <x:row r="72" ht="36" customHeight="1">
      <x:c r="A72" s="65"/>
      <x:c r="B72" s="65"/>
      <x:c r="C72" s="65"/>
      <x:c r="D72" s="65"/>
      <x:c r="E72" s="65"/>
      <x:c r="F72" s="65"/>
      <x:c r="G72" s="65"/>
      <x:c r="H72" s="75"/>
      <x:c r="I72" s="75"/>
      <x:c r="J72" s="75"/>
      <x:c r="K72" s="78"/>
      <x:c r="L72" s="78"/>
      <x:c r="M72" s="78"/>
      <x:c r="N72" s="78"/>
      <x:c r="O72" s="65"/>
      <x:c r="P72" s="65"/>
      <x:c r="Q72" s="65"/>
      <x:c r="R72" s="65"/>
      <x:c r="S72" s="81" t="str">
        <x:f>IF(OR(H72="",I72=""),"",'指标定义'!$I$3*(I72-H72))</x:f>
      </x:c>
      <x:c r="T72" s="81" t="str">
        <x:f>IF(OR(H72="",J72=""),"",'指标定义'!$I$3*(J72-H72))</x:f>
      </x:c>
      <x:c r="U72" s="84" t="str">
        <x:f>IF(M72="","",IF(M72=0,0,N72/M72))</x:f>
      </x:c>
      <x:c r="V72" s="72" t="str">
        <x:f>IF(AND(A72&lt;&gt;"",H72&lt;&gt;"",I72&lt;&gt;"",J72&lt;&gt;"",K72&lt;&gt;"",L72&lt;&gt;"",M72&lt;&gt;"",N72&lt;&gt;"",O72&lt;&gt;"",P72="已验收"),"是","否")</x:f>
        <x:v>否</x:v>
      </x:c>
      <x:c r="W72" s="72" t="str">
        <x:f>IF(A72="","",IF(V72="是","完整","缺少必填指标或未验收"))</x:f>
      </x:c>
    </x:row>
    <x:row r="73" ht="36" customHeight="1">
      <x:c r="A73" s="65"/>
      <x:c r="B73" s="65"/>
      <x:c r="C73" s="65"/>
      <x:c r="D73" s="65"/>
      <x:c r="E73" s="65"/>
      <x:c r="F73" s="65"/>
      <x:c r="G73" s="65"/>
      <x:c r="H73" s="75"/>
      <x:c r="I73" s="75"/>
      <x:c r="J73" s="75"/>
      <x:c r="K73" s="78"/>
      <x:c r="L73" s="78"/>
      <x:c r="M73" s="78"/>
      <x:c r="N73" s="78"/>
      <x:c r="O73" s="65"/>
      <x:c r="P73" s="65"/>
      <x:c r="Q73" s="65"/>
      <x:c r="R73" s="65"/>
      <x:c r="S73" s="81" t="str">
        <x:f>IF(OR(H73="",I73=""),"",'指标定义'!$I$3*(I73-H73))</x:f>
      </x:c>
      <x:c r="T73" s="81" t="str">
        <x:f>IF(OR(H73="",J73=""),"",'指标定义'!$I$3*(J73-H73))</x:f>
      </x:c>
      <x:c r="U73" s="84" t="str">
        <x:f>IF(M73="","",IF(M73=0,0,N73/M73))</x:f>
      </x:c>
      <x:c r="V73" s="72" t="str">
        <x:f>IF(AND(A73&lt;&gt;"",H73&lt;&gt;"",I73&lt;&gt;"",J73&lt;&gt;"",K73&lt;&gt;"",L73&lt;&gt;"",M73&lt;&gt;"",N73&lt;&gt;"",O73&lt;&gt;"",P73="已验收"),"是","否")</x:f>
        <x:v>否</x:v>
      </x:c>
      <x:c r="W73" s="72" t="str">
        <x:f>IF(A73="","",IF(V73="是","完整","缺少必填指标或未验收"))</x:f>
      </x:c>
    </x:row>
    <x:row r="74" ht="36" customHeight="1">
      <x:c r="A74" s="65"/>
      <x:c r="B74" s="65"/>
      <x:c r="C74" s="65"/>
      <x:c r="D74" s="65"/>
      <x:c r="E74" s="65"/>
      <x:c r="F74" s="65"/>
      <x:c r="G74" s="65"/>
      <x:c r="H74" s="75"/>
      <x:c r="I74" s="75"/>
      <x:c r="J74" s="75"/>
      <x:c r="K74" s="78"/>
      <x:c r="L74" s="78"/>
      <x:c r="M74" s="78"/>
      <x:c r="N74" s="78"/>
      <x:c r="O74" s="65"/>
      <x:c r="P74" s="65"/>
      <x:c r="Q74" s="65"/>
      <x:c r="R74" s="65"/>
      <x:c r="S74" s="81" t="str">
        <x:f>IF(OR(H74="",I74=""),"",'指标定义'!$I$3*(I74-H74))</x:f>
      </x:c>
      <x:c r="T74" s="81" t="str">
        <x:f>IF(OR(H74="",J74=""),"",'指标定义'!$I$3*(J74-H74))</x:f>
      </x:c>
      <x:c r="U74" s="84" t="str">
        <x:f>IF(M74="","",IF(M74=0,0,N74/M74))</x:f>
      </x:c>
      <x:c r="V74" s="72" t="str">
        <x:f>IF(AND(A74&lt;&gt;"",H74&lt;&gt;"",I74&lt;&gt;"",J74&lt;&gt;"",K74&lt;&gt;"",L74&lt;&gt;"",M74&lt;&gt;"",N74&lt;&gt;"",O74&lt;&gt;"",P74="已验收"),"是","否")</x:f>
        <x:v>否</x:v>
      </x:c>
      <x:c r="W74" s="72" t="str">
        <x:f>IF(A74="","",IF(V74="是","完整","缺少必填指标或未验收"))</x:f>
      </x:c>
    </x:row>
    <x:row r="75" ht="36" customHeight="1">
      <x:c r="A75" s="65"/>
      <x:c r="B75" s="65"/>
      <x:c r="C75" s="65"/>
      <x:c r="D75" s="65"/>
      <x:c r="E75" s="65"/>
      <x:c r="F75" s="65"/>
      <x:c r="G75" s="65"/>
      <x:c r="H75" s="75"/>
      <x:c r="I75" s="75"/>
      <x:c r="J75" s="75"/>
      <x:c r="K75" s="78"/>
      <x:c r="L75" s="78"/>
      <x:c r="M75" s="78"/>
      <x:c r="N75" s="78"/>
      <x:c r="O75" s="65"/>
      <x:c r="P75" s="65"/>
      <x:c r="Q75" s="65"/>
      <x:c r="R75" s="65"/>
      <x:c r="S75" s="81" t="str">
        <x:f>IF(OR(H75="",I75=""),"",'指标定义'!$I$3*(I75-H75))</x:f>
      </x:c>
      <x:c r="T75" s="81" t="str">
        <x:f>IF(OR(H75="",J75=""),"",'指标定义'!$I$3*(J75-H75))</x:f>
      </x:c>
      <x:c r="U75" s="84" t="str">
        <x:f>IF(M75="","",IF(M75=0,0,N75/M75))</x:f>
      </x:c>
      <x:c r="V75" s="72" t="str">
        <x:f>IF(AND(A75&lt;&gt;"",H75&lt;&gt;"",I75&lt;&gt;"",J75&lt;&gt;"",K75&lt;&gt;"",L75&lt;&gt;"",M75&lt;&gt;"",N75&lt;&gt;"",O75&lt;&gt;"",P75="已验收"),"是","否")</x:f>
        <x:v>否</x:v>
      </x:c>
      <x:c r="W75" s="72" t="str">
        <x:f>IF(A75="","",IF(V75="是","完整","缺少必填指标或未验收"))</x:f>
      </x:c>
    </x:row>
    <x:row r="76" ht="36" customHeight="1">
      <x:c r="A76" s="65"/>
      <x:c r="B76" s="65"/>
      <x:c r="C76" s="65"/>
      <x:c r="D76" s="65"/>
      <x:c r="E76" s="65"/>
      <x:c r="F76" s="65"/>
      <x:c r="G76" s="65"/>
      <x:c r="H76" s="75"/>
      <x:c r="I76" s="75"/>
      <x:c r="J76" s="75"/>
      <x:c r="K76" s="78"/>
      <x:c r="L76" s="78"/>
      <x:c r="M76" s="78"/>
      <x:c r="N76" s="78"/>
      <x:c r="O76" s="65"/>
      <x:c r="P76" s="65"/>
      <x:c r="Q76" s="65"/>
      <x:c r="R76" s="65"/>
      <x:c r="S76" s="81" t="str">
        <x:f>IF(OR(H76="",I76=""),"",'指标定义'!$I$3*(I76-H76))</x:f>
      </x:c>
      <x:c r="T76" s="81" t="str">
        <x:f>IF(OR(H76="",J76=""),"",'指标定义'!$I$3*(J76-H76))</x:f>
      </x:c>
      <x:c r="U76" s="84" t="str">
        <x:f>IF(M76="","",IF(M76=0,0,N76/M76))</x:f>
      </x:c>
      <x:c r="V76" s="72" t="str">
        <x:f>IF(AND(A76&lt;&gt;"",H76&lt;&gt;"",I76&lt;&gt;"",J76&lt;&gt;"",K76&lt;&gt;"",L76&lt;&gt;"",M76&lt;&gt;"",N76&lt;&gt;"",O76&lt;&gt;"",P76="已验收"),"是","否")</x:f>
        <x:v>否</x:v>
      </x:c>
      <x:c r="W76" s="72" t="str">
        <x:f>IF(A76="","",IF(V76="是","完整","缺少必填指标或未验收"))</x:f>
      </x:c>
    </x:row>
    <x:row r="77" ht="36" customHeight="1">
      <x:c r="A77" s="65"/>
      <x:c r="B77" s="65"/>
      <x:c r="C77" s="65"/>
      <x:c r="D77" s="65"/>
      <x:c r="E77" s="65"/>
      <x:c r="F77" s="65"/>
      <x:c r="G77" s="65"/>
      <x:c r="H77" s="75"/>
      <x:c r="I77" s="75"/>
      <x:c r="J77" s="75"/>
      <x:c r="K77" s="78"/>
      <x:c r="L77" s="78"/>
      <x:c r="M77" s="78"/>
      <x:c r="N77" s="78"/>
      <x:c r="O77" s="65"/>
      <x:c r="P77" s="65"/>
      <x:c r="Q77" s="65"/>
      <x:c r="R77" s="65"/>
      <x:c r="S77" s="81" t="str">
        <x:f>IF(OR(H77="",I77=""),"",'指标定义'!$I$3*(I77-H77))</x:f>
      </x:c>
      <x:c r="T77" s="81" t="str">
        <x:f>IF(OR(H77="",J77=""),"",'指标定义'!$I$3*(J77-H77))</x:f>
      </x:c>
      <x:c r="U77" s="84" t="str">
        <x:f>IF(M77="","",IF(M77=0,0,N77/M77))</x:f>
      </x:c>
      <x:c r="V77" s="72" t="str">
        <x:f>IF(AND(A77&lt;&gt;"",H77&lt;&gt;"",I77&lt;&gt;"",J77&lt;&gt;"",K77&lt;&gt;"",L77&lt;&gt;"",M77&lt;&gt;"",N77&lt;&gt;"",O77&lt;&gt;"",P77="已验收"),"是","否")</x:f>
        <x:v>否</x:v>
      </x:c>
      <x:c r="W77" s="72" t="str">
        <x:f>IF(A77="","",IF(V77="是","完整","缺少必填指标或未验收"))</x:f>
      </x:c>
    </x:row>
    <x:row r="78" ht="36" customHeight="1">
      <x:c r="A78" s="65"/>
      <x:c r="B78" s="65"/>
      <x:c r="C78" s="65"/>
      <x:c r="D78" s="65"/>
      <x:c r="E78" s="65"/>
      <x:c r="F78" s="65"/>
      <x:c r="G78" s="65"/>
      <x:c r="H78" s="75"/>
      <x:c r="I78" s="75"/>
      <x:c r="J78" s="75"/>
      <x:c r="K78" s="78"/>
      <x:c r="L78" s="78"/>
      <x:c r="M78" s="78"/>
      <x:c r="N78" s="78"/>
      <x:c r="O78" s="65"/>
      <x:c r="P78" s="65"/>
      <x:c r="Q78" s="65"/>
      <x:c r="R78" s="65"/>
      <x:c r="S78" s="81" t="str">
        <x:f>IF(OR(H78="",I78=""),"",'指标定义'!$I$3*(I78-H78))</x:f>
      </x:c>
      <x:c r="T78" s="81" t="str">
        <x:f>IF(OR(H78="",J78=""),"",'指标定义'!$I$3*(J78-H78))</x:f>
      </x:c>
      <x:c r="U78" s="84" t="str">
        <x:f>IF(M78="","",IF(M78=0,0,N78/M78))</x:f>
      </x:c>
      <x:c r="V78" s="72" t="str">
        <x:f>IF(AND(A78&lt;&gt;"",H78&lt;&gt;"",I78&lt;&gt;"",J78&lt;&gt;"",K78&lt;&gt;"",L78&lt;&gt;"",M78&lt;&gt;"",N78&lt;&gt;"",O78&lt;&gt;"",P78="已验收"),"是","否")</x:f>
        <x:v>否</x:v>
      </x:c>
      <x:c r="W78" s="72" t="str">
        <x:f>IF(A78="","",IF(V78="是","完整","缺少必填指标或未验收"))</x:f>
      </x:c>
    </x:row>
    <x:row r="79" ht="36" customHeight="1">
      <x:c r="A79" s="65"/>
      <x:c r="B79" s="65"/>
      <x:c r="C79" s="65"/>
      <x:c r="D79" s="65"/>
      <x:c r="E79" s="65"/>
      <x:c r="F79" s="65"/>
      <x:c r="G79" s="65"/>
      <x:c r="H79" s="75"/>
      <x:c r="I79" s="75"/>
      <x:c r="J79" s="75"/>
      <x:c r="K79" s="78"/>
      <x:c r="L79" s="78"/>
      <x:c r="M79" s="78"/>
      <x:c r="N79" s="78"/>
      <x:c r="O79" s="65"/>
      <x:c r="P79" s="65"/>
      <x:c r="Q79" s="65"/>
      <x:c r="R79" s="65"/>
      <x:c r="S79" s="81" t="str">
        <x:f>IF(OR(H79="",I79=""),"",'指标定义'!$I$3*(I79-H79))</x:f>
      </x:c>
      <x:c r="T79" s="81" t="str">
        <x:f>IF(OR(H79="",J79=""),"",'指标定义'!$I$3*(J79-H79))</x:f>
      </x:c>
      <x:c r="U79" s="84" t="str">
        <x:f>IF(M79="","",IF(M79=0,0,N79/M79))</x:f>
      </x:c>
      <x:c r="V79" s="72" t="str">
        <x:f>IF(AND(A79&lt;&gt;"",H79&lt;&gt;"",I79&lt;&gt;"",J79&lt;&gt;"",K79&lt;&gt;"",L79&lt;&gt;"",M79&lt;&gt;"",N79&lt;&gt;"",O79&lt;&gt;"",P79="已验收"),"是","否")</x:f>
        <x:v>否</x:v>
      </x:c>
      <x:c r="W79" s="72" t="str">
        <x:f>IF(A79="","",IF(V79="是","完整","缺少必填指标或未验收"))</x:f>
      </x:c>
    </x:row>
    <x:row r="80" ht="36" customHeight="1">
      <x:c r="A80" s="65"/>
      <x:c r="B80" s="65"/>
      <x:c r="C80" s="65"/>
      <x:c r="D80" s="65"/>
      <x:c r="E80" s="65"/>
      <x:c r="F80" s="65"/>
      <x:c r="G80" s="65"/>
      <x:c r="H80" s="75"/>
      <x:c r="I80" s="75"/>
      <x:c r="J80" s="75"/>
      <x:c r="K80" s="78"/>
      <x:c r="L80" s="78"/>
      <x:c r="M80" s="78"/>
      <x:c r="N80" s="78"/>
      <x:c r="O80" s="65"/>
      <x:c r="P80" s="65"/>
      <x:c r="Q80" s="65"/>
      <x:c r="R80" s="65"/>
      <x:c r="S80" s="81" t="str">
        <x:f>IF(OR(H80="",I80=""),"",'指标定义'!$I$3*(I80-H80))</x:f>
      </x:c>
      <x:c r="T80" s="81" t="str">
        <x:f>IF(OR(H80="",J80=""),"",'指标定义'!$I$3*(J80-H80))</x:f>
      </x:c>
      <x:c r="U80" s="84" t="str">
        <x:f>IF(M80="","",IF(M80=0,0,N80/M80))</x:f>
      </x:c>
      <x:c r="V80" s="72" t="str">
        <x:f>IF(AND(A80&lt;&gt;"",H80&lt;&gt;"",I80&lt;&gt;"",J80&lt;&gt;"",K80&lt;&gt;"",L80&lt;&gt;"",M80&lt;&gt;"",N80&lt;&gt;"",O80&lt;&gt;"",P80="已验收"),"是","否")</x:f>
        <x:v>否</x:v>
      </x:c>
      <x:c r="W80" s="72" t="str">
        <x:f>IF(A80="","",IF(V80="是","完整","缺少必填指标或未验收"))</x:f>
      </x:c>
    </x:row>
    <x:row r="81" ht="36" customHeight="1">
      <x:c r="A81" s="65"/>
      <x:c r="B81" s="65"/>
      <x:c r="C81" s="65"/>
      <x:c r="D81" s="65"/>
      <x:c r="E81" s="65"/>
      <x:c r="F81" s="65"/>
      <x:c r="G81" s="65"/>
      <x:c r="H81" s="75"/>
      <x:c r="I81" s="75"/>
      <x:c r="J81" s="75"/>
      <x:c r="K81" s="78"/>
      <x:c r="L81" s="78"/>
      <x:c r="M81" s="78"/>
      <x:c r="N81" s="78"/>
      <x:c r="O81" s="65"/>
      <x:c r="P81" s="65"/>
      <x:c r="Q81" s="65"/>
      <x:c r="R81" s="65"/>
      <x:c r="S81" s="81" t="str">
        <x:f>IF(OR(H81="",I81=""),"",'指标定义'!$I$3*(I81-H81))</x:f>
      </x:c>
      <x:c r="T81" s="81" t="str">
        <x:f>IF(OR(H81="",J81=""),"",'指标定义'!$I$3*(J81-H81))</x:f>
      </x:c>
      <x:c r="U81" s="84" t="str">
        <x:f>IF(M81="","",IF(M81=0,0,N81/M81))</x:f>
      </x:c>
      <x:c r="V81" s="72" t="str">
        <x:f>IF(AND(A81&lt;&gt;"",H81&lt;&gt;"",I81&lt;&gt;"",J81&lt;&gt;"",K81&lt;&gt;"",L81&lt;&gt;"",M81&lt;&gt;"",N81&lt;&gt;"",O81&lt;&gt;"",P81="已验收"),"是","否")</x:f>
        <x:v>否</x:v>
      </x:c>
      <x:c r="W81" s="72" t="str">
        <x:f>IF(A81="","",IF(V81="是","完整","缺少必填指标或未验收"))</x:f>
      </x:c>
    </x:row>
    <x:row r="82" ht="36" customHeight="1">
      <x:c r="A82" s="65"/>
      <x:c r="B82" s="65"/>
      <x:c r="C82" s="65"/>
      <x:c r="D82" s="65"/>
      <x:c r="E82" s="65"/>
      <x:c r="F82" s="65"/>
      <x:c r="G82" s="65"/>
      <x:c r="H82" s="75"/>
      <x:c r="I82" s="75"/>
      <x:c r="J82" s="75"/>
      <x:c r="K82" s="78"/>
      <x:c r="L82" s="78"/>
      <x:c r="M82" s="78"/>
      <x:c r="N82" s="78"/>
      <x:c r="O82" s="65"/>
      <x:c r="P82" s="65"/>
      <x:c r="Q82" s="65"/>
      <x:c r="R82" s="65"/>
      <x:c r="S82" s="81" t="str">
        <x:f>IF(OR(H82="",I82=""),"",'指标定义'!$I$3*(I82-H82))</x:f>
      </x:c>
      <x:c r="T82" s="81" t="str">
        <x:f>IF(OR(H82="",J82=""),"",'指标定义'!$I$3*(J82-H82))</x:f>
      </x:c>
      <x:c r="U82" s="84" t="str">
        <x:f>IF(M82="","",IF(M82=0,0,N82/M82))</x:f>
      </x:c>
      <x:c r="V82" s="72" t="str">
        <x:f>IF(AND(A82&lt;&gt;"",H82&lt;&gt;"",I82&lt;&gt;"",J82&lt;&gt;"",K82&lt;&gt;"",L82&lt;&gt;"",M82&lt;&gt;"",N82&lt;&gt;"",O82&lt;&gt;"",P82="已验收"),"是","否")</x:f>
        <x:v>否</x:v>
      </x:c>
      <x:c r="W82" s="72" t="str">
        <x:f>IF(A82="","",IF(V82="是","完整","缺少必填指标或未验收"))</x:f>
      </x:c>
    </x:row>
    <x:row r="83" ht="36" customHeight="1">
      <x:c r="A83" s="65"/>
      <x:c r="B83" s="65"/>
      <x:c r="C83" s="65"/>
      <x:c r="D83" s="65"/>
      <x:c r="E83" s="65"/>
      <x:c r="F83" s="65"/>
      <x:c r="G83" s="65"/>
      <x:c r="H83" s="75"/>
      <x:c r="I83" s="75"/>
      <x:c r="J83" s="75"/>
      <x:c r="K83" s="78"/>
      <x:c r="L83" s="78"/>
      <x:c r="M83" s="78"/>
      <x:c r="N83" s="78"/>
      <x:c r="O83" s="65"/>
      <x:c r="P83" s="65"/>
      <x:c r="Q83" s="65"/>
      <x:c r="R83" s="65"/>
      <x:c r="S83" s="81" t="str">
        <x:f>IF(OR(H83="",I83=""),"",'指标定义'!$I$3*(I83-H83))</x:f>
      </x:c>
      <x:c r="T83" s="81" t="str">
        <x:f>IF(OR(H83="",J83=""),"",'指标定义'!$I$3*(J83-H83))</x:f>
      </x:c>
      <x:c r="U83" s="84" t="str">
        <x:f>IF(M83="","",IF(M83=0,0,N83/M83))</x:f>
      </x:c>
      <x:c r="V83" s="72" t="str">
        <x:f>IF(AND(A83&lt;&gt;"",H83&lt;&gt;"",I83&lt;&gt;"",J83&lt;&gt;"",K83&lt;&gt;"",L83&lt;&gt;"",M83&lt;&gt;"",N83&lt;&gt;"",O83&lt;&gt;"",P83="已验收"),"是","否")</x:f>
        <x:v>否</x:v>
      </x:c>
      <x:c r="W83" s="72" t="str">
        <x:f>IF(A83="","",IF(V83="是","完整","缺少必填指标或未验收"))</x:f>
      </x:c>
    </x:row>
    <x:row r="84" ht="36" customHeight="1">
      <x:c r="A84" s="65"/>
      <x:c r="B84" s="65"/>
      <x:c r="C84" s="65"/>
      <x:c r="D84" s="65"/>
      <x:c r="E84" s="65"/>
      <x:c r="F84" s="65"/>
      <x:c r="G84" s="65"/>
      <x:c r="H84" s="75"/>
      <x:c r="I84" s="75"/>
      <x:c r="J84" s="75"/>
      <x:c r="K84" s="78"/>
      <x:c r="L84" s="78"/>
      <x:c r="M84" s="78"/>
      <x:c r="N84" s="78"/>
      <x:c r="O84" s="65"/>
      <x:c r="P84" s="65"/>
      <x:c r="Q84" s="65"/>
      <x:c r="R84" s="65"/>
      <x:c r="S84" s="81" t="str">
        <x:f>IF(OR(H84="",I84=""),"",'指标定义'!$I$3*(I84-H84))</x:f>
      </x:c>
      <x:c r="T84" s="81" t="str">
        <x:f>IF(OR(H84="",J84=""),"",'指标定义'!$I$3*(J84-H84))</x:f>
      </x:c>
      <x:c r="U84" s="84" t="str">
        <x:f>IF(M84="","",IF(M84=0,0,N84/M84))</x:f>
      </x:c>
      <x:c r="V84" s="72" t="str">
        <x:f>IF(AND(A84&lt;&gt;"",H84&lt;&gt;"",I84&lt;&gt;"",J84&lt;&gt;"",K84&lt;&gt;"",L84&lt;&gt;"",M84&lt;&gt;"",N84&lt;&gt;"",O84&lt;&gt;"",P84="已验收"),"是","否")</x:f>
        <x:v>否</x:v>
      </x:c>
      <x:c r="W84" s="72" t="str">
        <x:f>IF(A84="","",IF(V84="是","完整","缺少必填指标或未验收"))</x:f>
      </x:c>
    </x:row>
    <x:row r="85" ht="36" customHeight="1">
      <x:c r="A85" s="65"/>
      <x:c r="B85" s="65"/>
      <x:c r="C85" s="65"/>
      <x:c r="D85" s="65"/>
      <x:c r="E85" s="65"/>
      <x:c r="F85" s="65"/>
      <x:c r="G85" s="65"/>
      <x:c r="H85" s="75"/>
      <x:c r="I85" s="75"/>
      <x:c r="J85" s="75"/>
      <x:c r="K85" s="78"/>
      <x:c r="L85" s="78"/>
      <x:c r="M85" s="78"/>
      <x:c r="N85" s="78"/>
      <x:c r="O85" s="65"/>
      <x:c r="P85" s="65"/>
      <x:c r="Q85" s="65"/>
      <x:c r="R85" s="65"/>
      <x:c r="S85" s="81" t="str">
        <x:f>IF(OR(H85="",I85=""),"",'指标定义'!$I$3*(I85-H85))</x:f>
      </x:c>
      <x:c r="T85" s="81" t="str">
        <x:f>IF(OR(H85="",J85=""),"",'指标定义'!$I$3*(J85-H85))</x:f>
      </x:c>
      <x:c r="U85" s="84" t="str">
        <x:f>IF(M85="","",IF(M85=0,0,N85/M85))</x:f>
      </x:c>
      <x:c r="V85" s="72" t="str">
        <x:f>IF(AND(A85&lt;&gt;"",H85&lt;&gt;"",I85&lt;&gt;"",J85&lt;&gt;"",K85&lt;&gt;"",L85&lt;&gt;"",M85&lt;&gt;"",N85&lt;&gt;"",O85&lt;&gt;"",P85="已验收"),"是","否")</x:f>
        <x:v>否</x:v>
      </x:c>
      <x:c r="W85" s="72" t="str">
        <x:f>IF(A85="","",IF(V85="是","完整","缺少必填指标或未验收"))</x:f>
      </x:c>
    </x:row>
    <x:row r="86" ht="36" customHeight="1">
      <x:c r="A86" s="65"/>
      <x:c r="B86" s="65"/>
      <x:c r="C86" s="65"/>
      <x:c r="D86" s="65"/>
      <x:c r="E86" s="65"/>
      <x:c r="F86" s="65"/>
      <x:c r="G86" s="65"/>
      <x:c r="H86" s="75"/>
      <x:c r="I86" s="75"/>
      <x:c r="J86" s="75"/>
      <x:c r="K86" s="78"/>
      <x:c r="L86" s="78"/>
      <x:c r="M86" s="78"/>
      <x:c r="N86" s="78"/>
      <x:c r="O86" s="65"/>
      <x:c r="P86" s="65"/>
      <x:c r="Q86" s="65"/>
      <x:c r="R86" s="65"/>
      <x:c r="S86" s="81" t="str">
        <x:f>IF(OR(H86="",I86=""),"",'指标定义'!$I$3*(I86-H86))</x:f>
      </x:c>
      <x:c r="T86" s="81" t="str">
        <x:f>IF(OR(H86="",J86=""),"",'指标定义'!$I$3*(J86-H86))</x:f>
      </x:c>
      <x:c r="U86" s="84" t="str">
        <x:f>IF(M86="","",IF(M86=0,0,N86/M86))</x:f>
      </x:c>
      <x:c r="V86" s="72" t="str">
        <x:f>IF(AND(A86&lt;&gt;"",H86&lt;&gt;"",I86&lt;&gt;"",J86&lt;&gt;"",K86&lt;&gt;"",L86&lt;&gt;"",M86&lt;&gt;"",N86&lt;&gt;"",O86&lt;&gt;"",P86="已验收"),"是","否")</x:f>
        <x:v>否</x:v>
      </x:c>
      <x:c r="W86" s="72" t="str">
        <x:f>IF(A86="","",IF(V86="是","完整","缺少必填指标或未验收"))</x:f>
      </x:c>
    </x:row>
    <x:row r="87" ht="36" customHeight="1">
      <x:c r="A87" s="65"/>
      <x:c r="B87" s="65"/>
      <x:c r="C87" s="65"/>
      <x:c r="D87" s="65"/>
      <x:c r="E87" s="65"/>
      <x:c r="F87" s="65"/>
      <x:c r="G87" s="65"/>
      <x:c r="H87" s="75"/>
      <x:c r="I87" s="75"/>
      <x:c r="J87" s="75"/>
      <x:c r="K87" s="78"/>
      <x:c r="L87" s="78"/>
      <x:c r="M87" s="78"/>
      <x:c r="N87" s="78"/>
      <x:c r="O87" s="65"/>
      <x:c r="P87" s="65"/>
      <x:c r="Q87" s="65"/>
      <x:c r="R87" s="65"/>
      <x:c r="S87" s="81" t="str">
        <x:f>IF(OR(H87="",I87=""),"",'指标定义'!$I$3*(I87-H87))</x:f>
      </x:c>
      <x:c r="T87" s="81" t="str">
        <x:f>IF(OR(H87="",J87=""),"",'指标定义'!$I$3*(J87-H87))</x:f>
      </x:c>
      <x:c r="U87" s="84" t="str">
        <x:f>IF(M87="","",IF(M87=0,0,N87/M87))</x:f>
      </x:c>
      <x:c r="V87" s="72" t="str">
        <x:f>IF(AND(A87&lt;&gt;"",H87&lt;&gt;"",I87&lt;&gt;"",J87&lt;&gt;"",K87&lt;&gt;"",L87&lt;&gt;"",M87&lt;&gt;"",N87&lt;&gt;"",O87&lt;&gt;"",P87="已验收"),"是","否")</x:f>
        <x:v>否</x:v>
      </x:c>
      <x:c r="W87" s="72" t="str">
        <x:f>IF(A87="","",IF(V87="是","完整","缺少必填指标或未验收"))</x:f>
      </x:c>
    </x:row>
    <x:row r="88" ht="36" customHeight="1">
      <x:c r="A88" s="65"/>
      <x:c r="B88" s="65"/>
      <x:c r="C88" s="65"/>
      <x:c r="D88" s="65"/>
      <x:c r="E88" s="65"/>
      <x:c r="F88" s="65"/>
      <x:c r="G88" s="65"/>
      <x:c r="H88" s="75"/>
      <x:c r="I88" s="75"/>
      <x:c r="J88" s="75"/>
      <x:c r="K88" s="78"/>
      <x:c r="L88" s="78"/>
      <x:c r="M88" s="78"/>
      <x:c r="N88" s="78"/>
      <x:c r="O88" s="65"/>
      <x:c r="P88" s="65"/>
      <x:c r="Q88" s="65"/>
      <x:c r="R88" s="65"/>
      <x:c r="S88" s="81" t="str">
        <x:f>IF(OR(H88="",I88=""),"",'指标定义'!$I$3*(I88-H88))</x:f>
      </x:c>
      <x:c r="T88" s="81" t="str">
        <x:f>IF(OR(H88="",J88=""),"",'指标定义'!$I$3*(J88-H88))</x:f>
      </x:c>
      <x:c r="U88" s="84" t="str">
        <x:f>IF(M88="","",IF(M88=0,0,N88/M88))</x:f>
      </x:c>
      <x:c r="V88" s="72" t="str">
        <x:f>IF(AND(A88&lt;&gt;"",H88&lt;&gt;"",I88&lt;&gt;"",J88&lt;&gt;"",K88&lt;&gt;"",L88&lt;&gt;"",M88&lt;&gt;"",N88&lt;&gt;"",O88&lt;&gt;"",P88="已验收"),"是","否")</x:f>
        <x:v>否</x:v>
      </x:c>
      <x:c r="W88" s="72" t="str">
        <x:f>IF(A88="","",IF(V88="是","完整","缺少必填指标或未验收"))</x:f>
      </x:c>
    </x:row>
    <x:row r="89" ht="36" customHeight="1">
      <x:c r="A89" s="65"/>
      <x:c r="B89" s="65"/>
      <x:c r="C89" s="65"/>
      <x:c r="D89" s="65"/>
      <x:c r="E89" s="65"/>
      <x:c r="F89" s="65"/>
      <x:c r="G89" s="65"/>
      <x:c r="H89" s="75"/>
      <x:c r="I89" s="75"/>
      <x:c r="J89" s="75"/>
      <x:c r="K89" s="78"/>
      <x:c r="L89" s="78"/>
      <x:c r="M89" s="78"/>
      <x:c r="N89" s="78"/>
      <x:c r="O89" s="65"/>
      <x:c r="P89" s="65"/>
      <x:c r="Q89" s="65"/>
      <x:c r="R89" s="65"/>
      <x:c r="S89" s="81" t="str">
        <x:f>IF(OR(H89="",I89=""),"",'指标定义'!$I$3*(I89-H89))</x:f>
      </x:c>
      <x:c r="T89" s="81" t="str">
        <x:f>IF(OR(H89="",J89=""),"",'指标定义'!$I$3*(J89-H89))</x:f>
      </x:c>
      <x:c r="U89" s="84" t="str">
        <x:f>IF(M89="","",IF(M89=0,0,N89/M89))</x:f>
      </x:c>
      <x:c r="V89" s="72" t="str">
        <x:f>IF(AND(A89&lt;&gt;"",H89&lt;&gt;"",I89&lt;&gt;"",J89&lt;&gt;"",K89&lt;&gt;"",L89&lt;&gt;"",M89&lt;&gt;"",N89&lt;&gt;"",O89&lt;&gt;"",P89="已验收"),"是","否")</x:f>
        <x:v>否</x:v>
      </x:c>
      <x:c r="W89" s="72" t="str">
        <x:f>IF(A89="","",IF(V89="是","完整","缺少必填指标或未验收"))</x:f>
      </x:c>
    </x:row>
    <x:row r="90" ht="36" customHeight="1">
      <x:c r="A90" s="65"/>
      <x:c r="B90" s="65"/>
      <x:c r="C90" s="65"/>
      <x:c r="D90" s="65"/>
      <x:c r="E90" s="65"/>
      <x:c r="F90" s="65"/>
      <x:c r="G90" s="65"/>
      <x:c r="H90" s="75"/>
      <x:c r="I90" s="75"/>
      <x:c r="J90" s="75"/>
      <x:c r="K90" s="78"/>
      <x:c r="L90" s="78"/>
      <x:c r="M90" s="78"/>
      <x:c r="N90" s="78"/>
      <x:c r="O90" s="65"/>
      <x:c r="P90" s="65"/>
      <x:c r="Q90" s="65"/>
      <x:c r="R90" s="65"/>
      <x:c r="S90" s="81" t="str">
        <x:f>IF(OR(H90="",I90=""),"",'指标定义'!$I$3*(I90-H90))</x:f>
      </x:c>
      <x:c r="T90" s="81" t="str">
        <x:f>IF(OR(H90="",J90=""),"",'指标定义'!$I$3*(J90-H90))</x:f>
      </x:c>
      <x:c r="U90" s="84" t="str">
        <x:f>IF(M90="","",IF(M90=0,0,N90/M90))</x:f>
      </x:c>
      <x:c r="V90" s="72" t="str">
        <x:f>IF(AND(A90&lt;&gt;"",H90&lt;&gt;"",I90&lt;&gt;"",J90&lt;&gt;"",K90&lt;&gt;"",L90&lt;&gt;"",M90&lt;&gt;"",N90&lt;&gt;"",O90&lt;&gt;"",P90="已验收"),"是","否")</x:f>
        <x:v>否</x:v>
      </x:c>
      <x:c r="W90" s="72" t="str">
        <x:f>IF(A90="","",IF(V90="是","完整","缺少必填指标或未验收"))</x:f>
      </x:c>
    </x:row>
    <x:row r="91" ht="36" customHeight="1">
      <x:c r="A91" s="65"/>
      <x:c r="B91" s="65"/>
      <x:c r="C91" s="65"/>
      <x:c r="D91" s="65"/>
      <x:c r="E91" s="65"/>
      <x:c r="F91" s="65"/>
      <x:c r="G91" s="65"/>
      <x:c r="H91" s="75"/>
      <x:c r="I91" s="75"/>
      <x:c r="J91" s="75"/>
      <x:c r="K91" s="78"/>
      <x:c r="L91" s="78"/>
      <x:c r="M91" s="78"/>
      <x:c r="N91" s="78"/>
      <x:c r="O91" s="65"/>
      <x:c r="P91" s="65"/>
      <x:c r="Q91" s="65"/>
      <x:c r="R91" s="65"/>
      <x:c r="S91" s="81" t="str">
        <x:f>IF(OR(H91="",I91=""),"",'指标定义'!$I$3*(I91-H91))</x:f>
      </x:c>
      <x:c r="T91" s="81" t="str">
        <x:f>IF(OR(H91="",J91=""),"",'指标定义'!$I$3*(J91-H91))</x:f>
      </x:c>
      <x:c r="U91" s="84" t="str">
        <x:f>IF(M91="","",IF(M91=0,0,N91/M91))</x:f>
      </x:c>
      <x:c r="V91" s="72" t="str">
        <x:f>IF(AND(A91&lt;&gt;"",H91&lt;&gt;"",I91&lt;&gt;"",J91&lt;&gt;"",K91&lt;&gt;"",L91&lt;&gt;"",M91&lt;&gt;"",N91&lt;&gt;"",O91&lt;&gt;"",P91="已验收"),"是","否")</x:f>
        <x:v>否</x:v>
      </x:c>
      <x:c r="W91" s="72" t="str">
        <x:f>IF(A91="","",IF(V91="是","完整","缺少必填指标或未验收"))</x:f>
      </x:c>
    </x:row>
    <x:row r="92" ht="36" customHeight="1">
      <x:c r="A92" s="65"/>
      <x:c r="B92" s="65"/>
      <x:c r="C92" s="65"/>
      <x:c r="D92" s="65"/>
      <x:c r="E92" s="65"/>
      <x:c r="F92" s="65"/>
      <x:c r="G92" s="65"/>
      <x:c r="H92" s="75"/>
      <x:c r="I92" s="75"/>
      <x:c r="J92" s="75"/>
      <x:c r="K92" s="78"/>
      <x:c r="L92" s="78"/>
      <x:c r="M92" s="78"/>
      <x:c r="N92" s="78"/>
      <x:c r="O92" s="65"/>
      <x:c r="P92" s="65"/>
      <x:c r="Q92" s="65"/>
      <x:c r="R92" s="65"/>
      <x:c r="S92" s="81" t="str">
        <x:f>IF(OR(H92="",I92=""),"",'指标定义'!$I$3*(I92-H92))</x:f>
      </x:c>
      <x:c r="T92" s="81" t="str">
        <x:f>IF(OR(H92="",J92=""),"",'指标定义'!$I$3*(J92-H92))</x:f>
      </x:c>
      <x:c r="U92" s="84" t="str">
        <x:f>IF(M92="","",IF(M92=0,0,N92/M92))</x:f>
      </x:c>
      <x:c r="V92" s="72" t="str">
        <x:f>IF(AND(A92&lt;&gt;"",H92&lt;&gt;"",I92&lt;&gt;"",J92&lt;&gt;"",K92&lt;&gt;"",L92&lt;&gt;"",M92&lt;&gt;"",N92&lt;&gt;"",O92&lt;&gt;"",P92="已验收"),"是","否")</x:f>
        <x:v>否</x:v>
      </x:c>
      <x:c r="W92" s="72" t="str">
        <x:f>IF(A92="","",IF(V92="是","完整","缺少必填指标或未验收"))</x:f>
      </x:c>
    </x:row>
    <x:row r="93" ht="36" customHeight="1">
      <x:c r="A93" s="65"/>
      <x:c r="B93" s="65"/>
      <x:c r="C93" s="65"/>
      <x:c r="D93" s="65"/>
      <x:c r="E93" s="65"/>
      <x:c r="F93" s="65"/>
      <x:c r="G93" s="65"/>
      <x:c r="H93" s="75"/>
      <x:c r="I93" s="75"/>
      <x:c r="J93" s="75"/>
      <x:c r="K93" s="78"/>
      <x:c r="L93" s="78"/>
      <x:c r="M93" s="78"/>
      <x:c r="N93" s="78"/>
      <x:c r="O93" s="65"/>
      <x:c r="P93" s="65"/>
      <x:c r="Q93" s="65"/>
      <x:c r="R93" s="65"/>
      <x:c r="S93" s="81" t="str">
        <x:f>IF(OR(H93="",I93=""),"",'指标定义'!$I$3*(I93-H93))</x:f>
      </x:c>
      <x:c r="T93" s="81" t="str">
        <x:f>IF(OR(H93="",J93=""),"",'指标定义'!$I$3*(J93-H93))</x:f>
      </x:c>
      <x:c r="U93" s="84" t="str">
        <x:f>IF(M93="","",IF(M93=0,0,N93/M93))</x:f>
      </x:c>
      <x:c r="V93" s="72" t="str">
        <x:f>IF(AND(A93&lt;&gt;"",H93&lt;&gt;"",I93&lt;&gt;"",J93&lt;&gt;"",K93&lt;&gt;"",L93&lt;&gt;"",M93&lt;&gt;"",N93&lt;&gt;"",O93&lt;&gt;"",P93="已验收"),"是","否")</x:f>
        <x:v>否</x:v>
      </x:c>
      <x:c r="W93" s="72" t="str">
        <x:f>IF(A93="","",IF(V93="是","完整","缺少必填指标或未验收"))</x:f>
      </x:c>
    </x:row>
    <x:row r="94" ht="36" customHeight="1">
      <x:c r="A94" s="65"/>
      <x:c r="B94" s="65"/>
      <x:c r="C94" s="65"/>
      <x:c r="D94" s="65"/>
      <x:c r="E94" s="65"/>
      <x:c r="F94" s="65"/>
      <x:c r="G94" s="65"/>
      <x:c r="H94" s="75"/>
      <x:c r="I94" s="75"/>
      <x:c r="J94" s="75"/>
      <x:c r="K94" s="78"/>
      <x:c r="L94" s="78"/>
      <x:c r="M94" s="78"/>
      <x:c r="N94" s="78"/>
      <x:c r="O94" s="65"/>
      <x:c r="P94" s="65"/>
      <x:c r="Q94" s="65"/>
      <x:c r="R94" s="65"/>
      <x:c r="S94" s="81" t="str">
        <x:f>IF(OR(H94="",I94=""),"",'指标定义'!$I$3*(I94-H94))</x:f>
      </x:c>
      <x:c r="T94" s="81" t="str">
        <x:f>IF(OR(H94="",J94=""),"",'指标定义'!$I$3*(J94-H94))</x:f>
      </x:c>
      <x:c r="U94" s="84" t="str">
        <x:f>IF(M94="","",IF(M94=0,0,N94/M94))</x:f>
      </x:c>
      <x:c r="V94" s="72" t="str">
        <x:f>IF(AND(A94&lt;&gt;"",H94&lt;&gt;"",I94&lt;&gt;"",J94&lt;&gt;"",K94&lt;&gt;"",L94&lt;&gt;"",M94&lt;&gt;"",N94&lt;&gt;"",O94&lt;&gt;"",P94="已验收"),"是","否")</x:f>
        <x:v>否</x:v>
      </x:c>
      <x:c r="W94" s="72" t="str">
        <x:f>IF(A94="","",IF(V94="是","完整","缺少必填指标或未验收"))</x:f>
      </x:c>
    </x:row>
    <x:row r="95" ht="36" customHeight="1">
      <x:c r="A95" s="65"/>
      <x:c r="B95" s="65"/>
      <x:c r="C95" s="65"/>
      <x:c r="D95" s="65"/>
      <x:c r="E95" s="65"/>
      <x:c r="F95" s="65"/>
      <x:c r="G95" s="65"/>
      <x:c r="H95" s="75"/>
      <x:c r="I95" s="75"/>
      <x:c r="J95" s="75"/>
      <x:c r="K95" s="78"/>
      <x:c r="L95" s="78"/>
      <x:c r="M95" s="78"/>
      <x:c r="N95" s="78"/>
      <x:c r="O95" s="65"/>
      <x:c r="P95" s="65"/>
      <x:c r="Q95" s="65"/>
      <x:c r="R95" s="65"/>
      <x:c r="S95" s="81" t="str">
        <x:f>IF(OR(H95="",I95=""),"",'指标定义'!$I$3*(I95-H95))</x:f>
      </x:c>
      <x:c r="T95" s="81" t="str">
        <x:f>IF(OR(H95="",J95=""),"",'指标定义'!$I$3*(J95-H95))</x:f>
      </x:c>
      <x:c r="U95" s="84" t="str">
        <x:f>IF(M95="","",IF(M95=0,0,N95/M95))</x:f>
      </x:c>
      <x:c r="V95" s="72" t="str">
        <x:f>IF(AND(A95&lt;&gt;"",H95&lt;&gt;"",I95&lt;&gt;"",J95&lt;&gt;"",K95&lt;&gt;"",L95&lt;&gt;"",M95&lt;&gt;"",N95&lt;&gt;"",O95&lt;&gt;"",P95="已验收"),"是","否")</x:f>
        <x:v>否</x:v>
      </x:c>
      <x:c r="W95" s="72" t="str">
        <x:f>IF(A95="","",IF(V95="是","完整","缺少必填指标或未验收"))</x:f>
      </x:c>
    </x:row>
    <x:row r="96" ht="36" customHeight="1">
      <x:c r="A96" s="65"/>
      <x:c r="B96" s="65"/>
      <x:c r="C96" s="65"/>
      <x:c r="D96" s="65"/>
      <x:c r="E96" s="65"/>
      <x:c r="F96" s="65"/>
      <x:c r="G96" s="65"/>
      <x:c r="H96" s="75"/>
      <x:c r="I96" s="75"/>
      <x:c r="J96" s="75"/>
      <x:c r="K96" s="78"/>
      <x:c r="L96" s="78"/>
      <x:c r="M96" s="78"/>
      <x:c r="N96" s="78"/>
      <x:c r="O96" s="65"/>
      <x:c r="P96" s="65"/>
      <x:c r="Q96" s="65"/>
      <x:c r="R96" s="65"/>
      <x:c r="S96" s="81" t="str">
        <x:f>IF(OR(H96="",I96=""),"",'指标定义'!$I$3*(I96-H96))</x:f>
      </x:c>
      <x:c r="T96" s="81" t="str">
        <x:f>IF(OR(H96="",J96=""),"",'指标定义'!$I$3*(J96-H96))</x:f>
      </x:c>
      <x:c r="U96" s="84" t="str">
        <x:f>IF(M96="","",IF(M96=0,0,N96/M96))</x:f>
      </x:c>
      <x:c r="V96" s="72" t="str">
        <x:f>IF(AND(A96&lt;&gt;"",H96&lt;&gt;"",I96&lt;&gt;"",J96&lt;&gt;"",K96&lt;&gt;"",L96&lt;&gt;"",M96&lt;&gt;"",N96&lt;&gt;"",O96&lt;&gt;"",P96="已验收"),"是","否")</x:f>
        <x:v>否</x:v>
      </x:c>
      <x:c r="W96" s="72" t="str">
        <x:f>IF(A96="","",IF(V96="是","完整","缺少必填指标或未验收"))</x:f>
      </x:c>
    </x:row>
    <x:row r="97" ht="36" customHeight="1">
      <x:c r="A97" s="65"/>
      <x:c r="B97" s="65"/>
      <x:c r="C97" s="65"/>
      <x:c r="D97" s="65"/>
      <x:c r="E97" s="65"/>
      <x:c r="F97" s="65"/>
      <x:c r="G97" s="65"/>
      <x:c r="H97" s="75"/>
      <x:c r="I97" s="75"/>
      <x:c r="J97" s="75"/>
      <x:c r="K97" s="78"/>
      <x:c r="L97" s="78"/>
      <x:c r="M97" s="78"/>
      <x:c r="N97" s="78"/>
      <x:c r="O97" s="65"/>
      <x:c r="P97" s="65"/>
      <x:c r="Q97" s="65"/>
      <x:c r="R97" s="65"/>
      <x:c r="S97" s="81" t="str">
        <x:f>IF(OR(H97="",I97=""),"",'指标定义'!$I$3*(I97-H97))</x:f>
      </x:c>
      <x:c r="T97" s="81" t="str">
        <x:f>IF(OR(H97="",J97=""),"",'指标定义'!$I$3*(J97-H97))</x:f>
      </x:c>
      <x:c r="U97" s="84" t="str">
        <x:f>IF(M97="","",IF(M97=0,0,N97/M97))</x:f>
      </x:c>
      <x:c r="V97" s="72" t="str">
        <x:f>IF(AND(A97&lt;&gt;"",H97&lt;&gt;"",I97&lt;&gt;"",J97&lt;&gt;"",K97&lt;&gt;"",L97&lt;&gt;"",M97&lt;&gt;"",N97&lt;&gt;"",O97&lt;&gt;"",P97="已验收"),"是","否")</x:f>
        <x:v>否</x:v>
      </x:c>
      <x:c r="W97" s="72" t="str">
        <x:f>IF(A97="","",IF(V97="是","完整","缺少必填指标或未验收"))</x:f>
      </x:c>
    </x:row>
    <x:row r="98" ht="36" customHeight="1">
      <x:c r="A98" s="65"/>
      <x:c r="B98" s="65"/>
      <x:c r="C98" s="65"/>
      <x:c r="D98" s="65"/>
      <x:c r="E98" s="65"/>
      <x:c r="F98" s="65"/>
      <x:c r="G98" s="65"/>
      <x:c r="H98" s="75"/>
      <x:c r="I98" s="75"/>
      <x:c r="J98" s="75"/>
      <x:c r="K98" s="78"/>
      <x:c r="L98" s="78"/>
      <x:c r="M98" s="78"/>
      <x:c r="N98" s="78"/>
      <x:c r="O98" s="65"/>
      <x:c r="P98" s="65"/>
      <x:c r="Q98" s="65"/>
      <x:c r="R98" s="65"/>
      <x:c r="S98" s="81" t="str">
        <x:f>IF(OR(H98="",I98=""),"",'指标定义'!$I$3*(I98-H98))</x:f>
      </x:c>
      <x:c r="T98" s="81" t="str">
        <x:f>IF(OR(H98="",J98=""),"",'指标定义'!$I$3*(J98-H98))</x:f>
      </x:c>
      <x:c r="U98" s="84" t="str">
        <x:f>IF(M98="","",IF(M98=0,0,N98/M98))</x:f>
      </x:c>
      <x:c r="V98" s="72" t="str">
        <x:f>IF(AND(A98&lt;&gt;"",H98&lt;&gt;"",I98&lt;&gt;"",J98&lt;&gt;"",K98&lt;&gt;"",L98&lt;&gt;"",M98&lt;&gt;"",N98&lt;&gt;"",O98&lt;&gt;"",P98="已验收"),"是","否")</x:f>
        <x:v>否</x:v>
      </x:c>
      <x:c r="W98" s="72" t="str">
        <x:f>IF(A98="","",IF(V98="是","完整","缺少必填指标或未验收"))</x:f>
      </x:c>
    </x:row>
    <x:row r="99" ht="36" customHeight="1">
      <x:c r="A99" s="65"/>
      <x:c r="B99" s="65"/>
      <x:c r="C99" s="65"/>
      <x:c r="D99" s="65"/>
      <x:c r="E99" s="65"/>
      <x:c r="F99" s="65"/>
      <x:c r="G99" s="65"/>
      <x:c r="H99" s="75"/>
      <x:c r="I99" s="75"/>
      <x:c r="J99" s="75"/>
      <x:c r="K99" s="78"/>
      <x:c r="L99" s="78"/>
      <x:c r="M99" s="78"/>
      <x:c r="N99" s="78"/>
      <x:c r="O99" s="65"/>
      <x:c r="P99" s="65"/>
      <x:c r="Q99" s="65"/>
      <x:c r="R99" s="65"/>
      <x:c r="S99" s="81" t="str">
        <x:f>IF(OR(H99="",I99=""),"",'指标定义'!$I$3*(I99-H99))</x:f>
      </x:c>
      <x:c r="T99" s="81" t="str">
        <x:f>IF(OR(H99="",J99=""),"",'指标定义'!$I$3*(J99-H99))</x:f>
      </x:c>
      <x:c r="U99" s="84" t="str">
        <x:f>IF(M99="","",IF(M99=0,0,N99/M99))</x:f>
      </x:c>
      <x:c r="V99" s="72" t="str">
        <x:f>IF(AND(A99&lt;&gt;"",H99&lt;&gt;"",I99&lt;&gt;"",J99&lt;&gt;"",K99&lt;&gt;"",L99&lt;&gt;"",M99&lt;&gt;"",N99&lt;&gt;"",O99&lt;&gt;"",P99="已验收"),"是","否")</x:f>
        <x:v>否</x:v>
      </x:c>
      <x:c r="W99" s="72" t="str">
        <x:f>IF(A99="","",IF(V99="是","完整","缺少必填指标或未验收"))</x:f>
      </x:c>
    </x:row>
    <x:row r="100" ht="36" customHeight="1">
      <x:c r="A100" s="65"/>
      <x:c r="B100" s="65"/>
      <x:c r="C100" s="65"/>
      <x:c r="D100" s="65"/>
      <x:c r="E100" s="65"/>
      <x:c r="F100" s="65"/>
      <x:c r="G100" s="65"/>
      <x:c r="H100" s="75"/>
      <x:c r="I100" s="75"/>
      <x:c r="J100" s="75"/>
      <x:c r="K100" s="78"/>
      <x:c r="L100" s="78"/>
      <x:c r="M100" s="78"/>
      <x:c r="N100" s="78"/>
      <x:c r="O100" s="65"/>
      <x:c r="P100" s="65"/>
      <x:c r="Q100" s="65"/>
      <x:c r="R100" s="65"/>
      <x:c r="S100" s="81" t="str">
        <x:f>IF(OR(H100="",I100=""),"",'指标定义'!$I$3*(I100-H100))</x:f>
      </x:c>
      <x:c r="T100" s="81" t="str">
        <x:f>IF(OR(H100="",J100=""),"",'指标定义'!$I$3*(J100-H100))</x:f>
      </x:c>
      <x:c r="U100" s="84" t="str">
        <x:f>IF(M100="","",IF(M100=0,0,N100/M100))</x:f>
      </x:c>
      <x:c r="V100" s="72" t="str">
        <x:f>IF(AND(A100&lt;&gt;"",H100&lt;&gt;"",I100&lt;&gt;"",J100&lt;&gt;"",K100&lt;&gt;"",L100&lt;&gt;"",M100&lt;&gt;"",N100&lt;&gt;"",O100&lt;&gt;"",P100="已验收"),"是","否")</x:f>
        <x:v>否</x:v>
      </x:c>
      <x:c r="W100" s="72" t="str">
        <x:f>IF(A100="","",IF(V100="是","完整","缺少必填指标或未验收"))</x:f>
      </x:c>
    </x:row>
    <x:row r="101" ht="36" customHeight="1">
      <x:c r="A101" s="65"/>
      <x:c r="B101" s="65"/>
      <x:c r="C101" s="65"/>
      <x:c r="D101" s="65"/>
      <x:c r="E101" s="65"/>
      <x:c r="F101" s="65"/>
      <x:c r="G101" s="65"/>
      <x:c r="H101" s="75"/>
      <x:c r="I101" s="75"/>
      <x:c r="J101" s="75"/>
      <x:c r="K101" s="78"/>
      <x:c r="L101" s="78"/>
      <x:c r="M101" s="78"/>
      <x:c r="N101" s="78"/>
      <x:c r="O101" s="65"/>
      <x:c r="P101" s="65"/>
      <x:c r="Q101" s="65"/>
      <x:c r="R101" s="65"/>
      <x:c r="S101" s="81" t="str">
        <x:f>IF(OR(H101="",I101=""),"",'指标定义'!$I$3*(I101-H101))</x:f>
      </x:c>
      <x:c r="T101" s="81" t="str">
        <x:f>IF(OR(H101="",J101=""),"",'指标定义'!$I$3*(J101-H101))</x:f>
      </x:c>
      <x:c r="U101" s="84" t="str">
        <x:f>IF(M101="","",IF(M101=0,0,N101/M101))</x:f>
      </x:c>
      <x:c r="V101" s="72" t="str">
        <x:f>IF(AND(A101&lt;&gt;"",H101&lt;&gt;"",I101&lt;&gt;"",J101&lt;&gt;"",K101&lt;&gt;"",L101&lt;&gt;"",M101&lt;&gt;"",N101&lt;&gt;"",O101&lt;&gt;"",P101="已验收"),"是","否")</x:f>
        <x:v>否</x:v>
      </x:c>
      <x:c r="W101" s="72" t="str">
        <x:f>IF(A101="","",IF(V101="是","完整","缺少必填指标或未验收"))</x:f>
      </x:c>
    </x:row>
    <x:row r="102" ht="36" customHeight="1">
      <x:c r="A102" s="65"/>
      <x:c r="B102" s="65"/>
      <x:c r="C102" s="65"/>
      <x:c r="D102" s="65"/>
      <x:c r="E102" s="65"/>
      <x:c r="F102" s="65"/>
      <x:c r="G102" s="65"/>
      <x:c r="H102" s="75"/>
      <x:c r="I102" s="75"/>
      <x:c r="J102" s="75"/>
      <x:c r="K102" s="78"/>
      <x:c r="L102" s="78"/>
      <x:c r="M102" s="78"/>
      <x:c r="N102" s="78"/>
      <x:c r="O102" s="65"/>
      <x:c r="P102" s="65"/>
      <x:c r="Q102" s="65"/>
      <x:c r="R102" s="65"/>
      <x:c r="S102" s="81" t="str">
        <x:f>IF(OR(H102="",I102=""),"",'指标定义'!$I$3*(I102-H102))</x:f>
      </x:c>
      <x:c r="T102" s="81" t="str">
        <x:f>IF(OR(H102="",J102=""),"",'指标定义'!$I$3*(J102-H102))</x:f>
      </x:c>
      <x:c r="U102" s="84" t="str">
        <x:f>IF(M102="","",IF(M102=0,0,N102/M102))</x:f>
      </x:c>
      <x:c r="V102" s="72" t="str">
        <x:f>IF(AND(A102&lt;&gt;"",H102&lt;&gt;"",I102&lt;&gt;"",J102&lt;&gt;"",K102&lt;&gt;"",L102&lt;&gt;"",M102&lt;&gt;"",N102&lt;&gt;"",O102&lt;&gt;"",P102="已验收"),"是","否")</x:f>
        <x:v>否</x:v>
      </x:c>
      <x:c r="W102" s="72" t="str">
        <x:f>IF(A102="","",IF(V102="是","完整","缺少必填指标或未验收"))</x:f>
      </x:c>
    </x:row>
    <x:row r="103" ht="36" customHeight="1">
      <x:c r="A103" s="65"/>
      <x:c r="B103" s="65"/>
      <x:c r="C103" s="65"/>
      <x:c r="D103" s="65"/>
      <x:c r="E103" s="65"/>
      <x:c r="F103" s="65"/>
      <x:c r="G103" s="65"/>
      <x:c r="H103" s="75"/>
      <x:c r="I103" s="75"/>
      <x:c r="J103" s="75"/>
      <x:c r="K103" s="78"/>
      <x:c r="L103" s="78"/>
      <x:c r="M103" s="78"/>
      <x:c r="N103" s="78"/>
      <x:c r="O103" s="65"/>
      <x:c r="P103" s="65"/>
      <x:c r="Q103" s="65"/>
      <x:c r="R103" s="65"/>
      <x:c r="S103" s="81" t="str">
        <x:f>IF(OR(H103="",I103=""),"",'指标定义'!$I$3*(I103-H103))</x:f>
      </x:c>
      <x:c r="T103" s="81" t="str">
        <x:f>IF(OR(H103="",J103=""),"",'指标定义'!$I$3*(J103-H103))</x:f>
      </x:c>
      <x:c r="U103" s="84" t="str">
        <x:f>IF(M103="","",IF(M103=0,0,N103/M103))</x:f>
      </x:c>
      <x:c r="V103" s="72" t="str">
        <x:f>IF(AND(A103&lt;&gt;"",H103&lt;&gt;"",I103&lt;&gt;"",J103&lt;&gt;"",K103&lt;&gt;"",L103&lt;&gt;"",M103&lt;&gt;"",N103&lt;&gt;"",O103&lt;&gt;"",P103="已验收"),"是","否")</x:f>
        <x:v>否</x:v>
      </x:c>
      <x:c r="W103" s="72" t="str">
        <x:f>IF(A103="","",IF(V103="是","完整","缺少必填指标或未验收"))</x:f>
      </x:c>
    </x:row>
    <x:row r="104" ht="36" customHeight="1">
      <x:c r="A104" s="66"/>
      <x:c r="B104" s="66"/>
      <x:c r="C104" s="66"/>
      <x:c r="D104" s="66"/>
      <x:c r="E104" s="66"/>
      <x:c r="F104" s="66"/>
      <x:c r="G104" s="66"/>
      <x:c r="H104" s="76"/>
      <x:c r="I104" s="76"/>
      <x:c r="J104" s="76"/>
      <x:c r="K104" s="79"/>
      <x:c r="L104" s="79"/>
      <x:c r="M104" s="79"/>
      <x:c r="N104" s="79"/>
      <x:c r="O104" s="66"/>
      <x:c r="P104" s="66"/>
      <x:c r="Q104" s="66"/>
      <x:c r="R104" s="66"/>
      <x:c r="S104" s="82" t="str">
        <x:f>IF(OR(H104="",I104=""),"",'指标定义'!$I$3*(I104-H104))</x:f>
      </x:c>
      <x:c r="T104" s="82" t="str">
        <x:f>IF(OR(H104="",J104=""),"",'指标定义'!$I$3*(J104-H104))</x:f>
      </x:c>
      <x:c r="U104" s="85" t="str">
        <x:f>IF(M104="","",IF(M104=0,0,N104/M104))</x:f>
      </x:c>
      <x:c r="V104" s="73" t="str">
        <x:f>IF(AND(A104&lt;&gt;"",H104&lt;&gt;"",I104&lt;&gt;"",J104&lt;&gt;"",K104&lt;&gt;"",L104&lt;&gt;"",M104&lt;&gt;"",N104&lt;&gt;"",O104&lt;&gt;"",P104="已验收"),"是","否")</x:f>
        <x:v>否</x:v>
      </x:c>
      <x:c r="W104" s="73" t="str">
        <x:f>IF(A104="","",IF(V104="是","完整","缺少必填指标或未验收"))</x:f>
      </x:c>
    </x:row>
  </x:sheetData>
  <x:mergeCells>
    <x:mergeCell ref="A1:W1"/>
    <x:mergeCell ref="A2:W2"/>
  </x:mergeCells>
  <x:conditionalFormatting sqref="P5:P104">
    <x:cfRule type="containsText" dxfId="2" priority="1" operator="containsText" text="已验收"/>
    <x:cfRule type="containsText" dxfId="3" priority="2" operator="containsText" text="待验证"/>
  </x:conditionalFormatting>
  <x:conditionalFormatting sqref="V5:V104">
    <x:cfRule type="containsText" dxfId="4" priority="3" operator="containsText" text="是"/>
    <x:cfRule type="containsText" dxfId="5" priority="4" operator="containsText" text="否"/>
  </x:conditionalFormatting>
  <x:dataValidations count="7">
    <x:dataValidation type="list" sqref="B5:B104">
      <x:formula1>"PILOT-01,PILOT-02,PILOT-03,RESERVE-01,RESERVE-02"</x:formula1>
    </x:dataValidation>
    <x:dataValidation type="list" sqref="D5:D104">
      <x:formula1>"使用组,观察组"</x:formula1>
    </x:dataValidation>
    <x:dataValidation type="list" sqref="E5:E104">
      <x:formula1>"快速通道,完整通道,未使用"</x:formula1>
    </x:dataValidation>
    <x:dataValidation type="list" sqref="F5:F104">
      <x:formula1>"小型,中型,大型"</x:formula1>
    </x:dataValidation>
    <x:dataValidation type="list" sqref="G5:G104">
      <x:formula1>"缺陷修复,缺陷治理,功能,重构,配置,其他"</x:formula1>
    </x:dataValidation>
    <x:dataValidation type="list" sqref="O5:O104">
      <x:formula1>"是,否"</x:formula1>
    </x:dataValidation>
    <x:dataValidation type="list" sqref="P5:P104">
      <x:formula1>"进行中,待验证,已验收,取消"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5a505152a047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4" hidden="0" customWidth="1"/>
    <x:col min="4" max="4" width="30" hidden="0" customWidth="1"/>
    <x:col min="5" max="5" width="34" hidden="0" customWidth="1"/>
    <x:col min="6" max="6" width="18" hidden="0" customWidth="1"/>
    <x:col min="8" max="8" width="22" hidden="0" customWidth="1"/>
    <x:col min="9" max="9" width="14" hidden="0" customWidth="1"/>
  </x:cols>
  <x:sheetData>
    <x:row r="1" ht="34" customHeight="1">
      <x:c r="A1" s="3" t="str">
        <x:v>开发者交付效果指标定义</x:v>
      </x:c>
      <x:c r="B1" s="3" t="str">
        <x:v>开发者交付效果指标定义</x:v>
      </x:c>
      <x:c r="C1" s="3" t="str">
        <x:v>开发者交付效果指标定义</x:v>
      </x:c>
      <x:c r="D1" s="3" t="str">
        <x:v>开发者交付效果指标定义</x:v>
      </x:c>
      <x:c r="E1" s="3" t="str">
        <x:v>开发者交付效果指标定义</x:v>
      </x:c>
      <x:c r="F1" s="3" t="str">
        <x:v>开发者交付效果指标定义</x:v>
      </x:c>
    </x:row>
    <x:row r="2" ht="30" customHeight="1">
      <x:c r="A2" s="7" t="str">
        <x:v>只统计真实任务；无法从仓库证据可靠恢复的历史数据保持为空，不使用提交次数替代交付效果。</x:v>
      </x:c>
      <x:c r="B2" s="7" t="str">
        <x:v>只统计真实任务；无法从仓库证据可靠恢复的历史数据保持为空，不使用提交次数替代交付效果。</x:v>
      </x:c>
      <x:c r="C2" s="7" t="str">
        <x:v>只统计真实任务；无法从仓库证据可靠恢复的历史数据保持为空，不使用提交次数替代交付效果。</x:v>
      </x:c>
      <x:c r="D2" s="7" t="str">
        <x:v>只统计真实任务；无法从仓库证据可靠恢复的历史数据保持为空，不使用提交次数替代交付效果。</x:v>
      </x:c>
      <x:c r="E2" s="7" t="str">
        <x:v>只统计真实任务；无法从仓库证据可靠恢复的历史数据保持为空，不使用提交次数替代交付效果。</x:v>
      </x:c>
      <x:c r="F2" s="7" t="str">
        <x:v>只统计真实任务；无法从仓库证据可靠恢复的历史数据保持为空，不使用提交次数替代交付效果。</x:v>
      </x:c>
      <x:c r="H2" s="19" t="str">
        <x:v>计算参数</x:v>
      </x:c>
      <x:c r="I2" s="21" t="str">
        <x:v>数值</x:v>
      </x:c>
    </x:row>
    <x:row r="3">
      <x:c r="H3" s="45" t="str">
        <x:v>每日小时数</x:v>
      </x:c>
      <x:c r="I3" s="49" t="n">
        <x:v>24</x:v>
      </x:c>
    </x:row>
    <x:row r="4" ht="30" customHeight="1">
      <x:c r="A4" s="19" t="str">
        <x:v>指标</x:v>
      </x:c>
      <x:c r="B4" s="20" t="str">
        <x:v>操作定义</x:v>
      </x:c>
      <x:c r="C4" s="20" t="str">
        <x:v>人工记录来源</x:v>
      </x:c>
      <x:c r="D4" s="20" t="str">
        <x:v>解释方式</x:v>
      </x:c>
      <x:c r="E4" s="20" t="str">
        <x:v>禁止误用</x:v>
      </x:c>
      <x:c r="F4" s="21" t="str">
        <x:v>是否进入有效样本门槛</x:v>
      </x:c>
      <x:c r="H4" s="47" t="str">
        <x:v>首轮最少有效样本</x:v>
      </x:c>
      <x:c r="I4" s="50" t="n">
        <x:v>20</x:v>
      </x:c>
    </x:row>
    <x:row r="5">
      <x:c r="A5" s="29" t="str">
        <x:v>首次交付时长</x:v>
      </x:c>
      <x:c r="B5" s="29" t="str">
        <x:v>从开发者确认开始实施到第一次可验收交付的小时数。</x:v>
      </x:c>
      <x:c r="C5" s="29" t="str">
        <x:v>开始时间、首次交付时间</x:v>
      </x:c>
      <x:c r="D5" s="29" t="str">
        <x:v>越低通常越快，但必须结合复杂度与一次验收结果。</x:v>
      </x:c>
      <x:c r="E5" s="29" t="str">
        <x:v>不得只用 Git 首末提交时间替代。</x:v>
      </x:c>
      <x:c r="F5" s="29" t="str">
        <x:v>是</x:v>
      </x:c>
    </x:row>
    <x:row r="6">
      <x:c r="A6" s="30" t="str">
        <x:v>总交付周期</x:v>
      </x:c>
      <x:c r="B6" s="30" t="str">
        <x:v>从开始实施到最终验收完成的小时数。</x:v>
      </x:c>
      <x:c r="C6" s="30" t="str">
        <x:v>开始时间、最终验收时间</x:v>
      </x:c>
      <x:c r="D6" s="30" t="str">
        <x:v>按工作流路线和复杂度分组比较。</x:v>
      </x:c>
      <x:c r="E6" s="30" t="str">
        <x:v>不得混合停等外部环境的时间后直接归因于工作流。</x:v>
      </x:c>
      <x:c r="F6" s="30" t="str">
        <x:v>是</x:v>
      </x:c>
    </x:row>
    <x:row r="7">
      <x:c r="A7" s="30" t="str">
        <x:v>需求澄清次数</x:v>
      </x:c>
      <x:c r="B7" s="30" t="str">
        <x:v>实施前后每次需要用户提供一个新的业务决定计一次；同一问题的追问不重复计。</x:v>
      </x:c>
      <x:c r="C7" s="30" t="str">
        <x:v>任务对话或需求修订记录</x:v>
      </x:c>
      <x:c r="D7" s="30" t="str">
        <x:v>区分必要澄清与流程噪声。</x:v>
      </x:c>
      <x:c r="E7" s="30" t="str">
        <x:v>不得把模型内部分析或普通进度通知计入。</x:v>
      </x:c>
      <x:c r="F7" s="30" t="str">
        <x:v>是</x:v>
      </x:c>
    </x:row>
    <x:row r="8">
      <x:c r="A8" s="30" t="str">
        <x:v>返工次数</x:v>
      </x:c>
      <x:c r="B8" s="30" t="str">
        <x:v>首次交付后，因为验收缺口而重新打开实现的独立轮次。</x:v>
      </x:c>
      <x:c r="C8" s="30" t="str">
        <x:v>验收反馈、任务重开记录</x:v>
      </x:c>
      <x:c r="D8" s="30" t="str">
        <x:v>越低表示首次理解和实现更稳定。</x:v>
      </x:c>
      <x:c r="E8" s="30" t="str">
        <x:v>需求主动扩展范围不算返工，应作为新任务或需求修订。</x:v>
      </x:c>
      <x:c r="F8" s="30" t="str">
        <x:v>是</x:v>
      </x:c>
    </x:row>
    <x:row r="9">
      <x:c r="A9" s="30" t="str">
        <x:v>阻断次数</x:v>
      </x:c>
      <x:c r="B9" s="30" t="str">
        <x:v>任务因缺少用户决定、外部环境、权限或必要证据而无法安全继续的次数。</x:v>
      </x:c>
      <x:c r="C9" s="30" t="str">
        <x:v>阻断记录</x:v>
      </x:c>
      <x:c r="D9" s="30" t="str">
        <x:v>用于判断流程保护与摩擦。</x:v>
      </x:c>
      <x:c r="E9" s="30" t="str">
        <x:v>普通警告、建议和非阻断风险不计。</x:v>
      </x:c>
      <x:c r="F9" s="30" t="str">
        <x:v>是</x:v>
      </x:c>
    </x:row>
    <x:row r="10">
      <x:c r="A10" s="30" t="str">
        <x:v>误阻断次数</x:v>
      </x:c>
      <x:c r="B10" s="30" t="str">
        <x:v>事后确认无需新增决定、权限、外部状态或范围变化，本可安全继续的阻断。</x:v>
      </x:c>
      <x:c r="C10" s="30" t="str">
        <x:v>阻断复盘</x:v>
      </x:c>
      <x:c r="D10" s="30" t="str">
        <x:v>除以阻断次数得到误阻断率。</x:v>
      </x:c>
      <x:c r="E10" s="30" t="str">
        <x:v>不得因为用户不喜欢阻断就自动判为误报。</x:v>
      </x:c>
      <x:c r="F10" s="30" t="str">
        <x:v>是</x:v>
      </x:c>
    </x:row>
    <x:row r="11">
      <x:c r="A11" s="30" t="str">
        <x:v>一次验收通过</x:v>
      </x:c>
      <x:c r="B11" s="30" t="str">
        <x:v>第一次可验收交付后没有因验收缺口重新打开实现，并最终通过验收。</x:v>
      </x:c>
      <x:c r="C11" s="30" t="str">
        <x:v>首次交付和最终验收记录</x:v>
      </x:c>
      <x:c r="D11" s="30" t="str">
        <x:v>作为核心质量结果。</x:v>
      </x:c>
      <x:c r="E11" s="30" t="str">
        <x:v>未最终验收的任务不能记为“是”。</x:v>
      </x:c>
      <x:c r="F11" s="30" t="str">
        <x:v>是</x:v>
      </x:c>
    </x:row>
    <x:row r="12">
      <x:c r="A12" s="31" t="str">
        <x:v>有效样本</x:v>
      </x:c>
      <x:c r="B12" s="31" t="str">
        <x:v>任务已最终验收，且时间、澄清、返工、阻断、误阻断和一次验收字段齐全。</x:v>
      </x:c>
      <x:c r="C12" s="31" t="str">
        <x:v>任务记录完整性检查</x:v>
      </x:c>
      <x:c r="D12" s="31" t="str">
        <x:v>只有有效样本进入看板汇总。</x:v>
      </x:c>
      <x:c r="E12" s="31" t="str">
        <x:v>不得用默认零补齐未知历史数据。</x:v>
      </x:c>
      <x:c r="F12" s="31" t="str">
        <x:v>—</x:v>
      </x:c>
    </x:row>
    <x:row r="14">
      <x:c r="A14" s="32" t="str">
        <x:v>数据治理与试点规则</x:v>
      </x:c>
      <x:c r="B14" s="32" t="str">
        <x:v>数据治理与试点规则</x:v>
      </x:c>
      <x:c r="C14" s="32" t="str">
        <x:v>数据治理与试点规则</x:v>
      </x:c>
      <x:c r="D14" s="32" t="str">
        <x:v>数据治理与试点规则</x:v>
      </x:c>
      <x:c r="E14" s="32" t="str">
        <x:v>数据治理与试点规则</x:v>
      </x:c>
      <x:c r="F14" s="32" t="str">
        <x:v>数据治理与试点规则</x:v>
      </x:c>
    </x:row>
    <x:row r="15">
      <x:c r="A15" s="40" t="str">
        <x:v>1</x:v>
      </x:c>
      <x:c r="B15" s="40" t="str">
        <x:v>不采集源码、接口数据、凭据和需求正文，只记录任务级结果及证据位置。</x:v>
      </x:c>
      <x:c r="C15" s="40"/>
      <x:c r="D15" s="40"/>
      <x:c r="E15" s="40"/>
      <x:c r="F15" s="40"/>
    </x:row>
    <x:row r="16">
      <x:c r="A16" s="41" t="str">
        <x:v>2</x:v>
      </x:c>
      <x:c r="B16" s="41" t="str">
        <x:v>不按开发者排名；所有比较按项目、路线和复杂度分层。</x:v>
      </x:c>
      <x:c r="C16" s="41"/>
      <x:c r="D16" s="41"/>
      <x:c r="E16" s="41"/>
      <x:c r="F16" s="41"/>
    </x:row>
    <x:row r="17">
      <x:c r="A17" s="41" t="str">
        <x:v>3</x:v>
      </x:c>
      <x:c r="B17" s="41" t="str">
        <x:v>历史记录缺字段时标记为无效样本，不猜测开始时间、澄清次数或返工次数。</x:v>
      </x:c>
      <x:c r="C17" s="41"/>
      <x:c r="D17" s="41"/>
      <x:c r="E17" s="41"/>
      <x:c r="F17" s="41"/>
    </x:row>
    <x:row r="18">
      <x:c r="A18" s="41" t="str">
        <x:v>4</x:v>
      </x:c>
      <x:c r="B18" s="41" t="str">
        <x:v>首轮先积累最少 20 个有效样本，再讨论自动采集和趋势判断。</x:v>
      </x:c>
      <x:c r="C18" s="41"/>
      <x:c r="D18" s="41"/>
      <x:c r="E18" s="41"/>
      <x:c r="F18" s="41"/>
    </x:row>
    <x:row r="19">
      <x:c r="A19" s="42" t="str">
        <x:v>5</x:v>
      </x:c>
      <x:c r="B19" s="42" t="str">
        <x:v>观察组只能提供背景对照，不能单独证明工作流产生因果效果。</x:v>
      </x:c>
      <x:c r="C19" s="42"/>
      <x:c r="D19" s="42"/>
      <x:c r="E19" s="42"/>
      <x:c r="F19" s="42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C6500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4" hidden="0" customWidth="1"/>
    <x:col min="7" max="7" width="11" hidden="0" customWidth="1"/>
    <x:col min="8" max="8" width="11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4" hidden="0" customWidth="1"/>
    <x:col min="14" max="14" width="10" hidden="0" customWidth="1"/>
    <x:col min="15" max="15" width="10" hidden="0" customWidth="1"/>
    <x:col min="16" max="16" width="13" hidden="0" customWidth="1"/>
    <x:col min="17" max="17" width="24" hidden="0" customWidth="1"/>
  </x:cols>
  <x:sheetData>
    <x:row r="1" ht="30" customHeight="1">
      <x:c r="A1" s="141" t="str">
        <x:v>合成任务交付效果评估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</x:row>
    <x:row r="2" ht="26" customHeight="1">
      <x:c r="A2" s="143" t="str">
        <x:v>独立于真实开发者样本。结果来自隔离副本中的冻结合成案例，只用于描述性比较，不证明因果关系。</x:v>
      </x:c>
      <x:c r="B2" s="143"/>
      <x:c r="C2" s="143"/>
      <x:c r="D2" s="143"/>
      <x:c r="E2" s="143"/>
      <x:c r="F2" s="143"/>
      <x:c r="G2" s="143"/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</x:row>
    <x:row r="3">
      <x:c r="A3" s="139"/>
      <x:c r="B3" s="139"/>
      <x:c r="C3" s="139"/>
      <x:c r="D3" s="139"/>
      <x:c r="E3" s="139"/>
      <x:c r="F3" s="139"/>
      <x:c r="G3" s="139"/>
      <x:c r="H3" s="139"/>
      <x:c r="I3" s="139"/>
      <x:c r="J3" s="139"/>
      <x:c r="K3" s="139"/>
      <x:c r="L3" s="139"/>
      <x:c r="M3" s="139"/>
      <x:c r="N3" s="139"/>
      <x:c r="O3" s="139"/>
      <x:c r="P3" s="139"/>
      <x:c r="Q3" s="139"/>
    </x:row>
    <x:row r="4">
      <x:c r="A4" s="146" t="str">
        <x:v>运行编号</x:v>
      </x:c>
      <x:c r="B4" s="144" t="str">
        <x:v>synthetic-pilot-frozen-20260907</x:v>
      </x:c>
      <x:c r="C4" s="146" t="str">
        <x:v>预期配对</x:v>
      </x:c>
      <x:c r="D4" s="144" t="n">
        <x:v>6</x:v>
      </x:c>
      <x:c r="E4" s="146" t="str">
        <x:v>有效配对</x:v>
      </x:c>
      <x:c r="F4" s="144" t="n">
        <x:v>6</x:v>
      </x:c>
      <x:c r="G4" s="146" t="str">
        <x:v>运行数</x:v>
      </x:c>
      <x:c r="H4" s="144" t="n">
        <x:v>12</x:v>
      </x:c>
      <x:c r="I4" s="146" t="str">
        <x:v>有效运行</x:v>
      </x:c>
      <x:c r="J4" s="144" t="n">
        <x:v>12</x:v>
      </x:c>
      <x:c r="K4" s="146" t="str">
        <x:v>结论级别</x:v>
      </x:c>
      <x:c r="L4" s="144" t="str">
        <x:v>descriptive-comparison</x:v>
      </x:c>
      <x:c r="M4" s="146" t="str">
        <x:v>生成日期</x:v>
      </x:c>
      <x:c r="N4" s="144" t="str">
        <x:v>2026-09-07</x:v>
      </x:c>
      <x:c r="O4" s="139"/>
      <x:c r="P4" s="139"/>
      <x:c r="Q4" s="139"/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39"/>
      <x:c r="Q5" s="139"/>
    </x:row>
    <x:row r="6" ht="30" customHeight="1">
      <x:c r="A6" s="149" t="str">
        <x:v>本轮合成样本不支持“插件已提升总体交付效果”的结论：插件组平均总周期更长，且 1 个大型案例最终未通过。插件在 2 个案例中周期更短，其中 1 个中型案例少 1 次返工。后续仍需真实开发者样本验证。</x:v>
      </x:c>
      <x:c r="B6" s="150"/>
      <x:c r="C6" s="150"/>
      <x:c r="D6" s="150"/>
      <x:c r="E6" s="150"/>
      <x:c r="F6" s="150"/>
      <x:c r="G6" s="150"/>
      <x:c r="H6" s="150"/>
      <x:c r="I6" s="150"/>
      <x:c r="J6" s="150"/>
      <x:c r="K6" s="150"/>
      <x:c r="L6" s="150"/>
      <x:c r="M6" s="150"/>
      <x:c r="N6" s="150"/>
      <x:c r="O6" s="150"/>
      <x:c r="P6" s="150"/>
      <x:c r="Q6" s="151"/>
    </x:row>
    <x:row r="7" ht="30" customHeight="1">
      <x:c r="A7" s="152"/>
      <x:c r="B7" s="153"/>
      <x:c r="C7" s="153"/>
      <x:c r="D7" s="153"/>
      <x:c r="E7" s="153"/>
      <x:c r="F7" s="153"/>
      <x:c r="G7" s="153"/>
      <x:c r="H7" s="153"/>
      <x:c r="I7" s="153"/>
      <x:c r="J7" s="153"/>
      <x:c r="K7" s="153"/>
      <x:c r="L7" s="153"/>
      <x:c r="M7" s="153"/>
      <x:c r="N7" s="153"/>
      <x:c r="O7" s="153"/>
      <x:c r="P7" s="153"/>
      <x:c r="Q7" s="154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39"/>
      <x:c r="Q8" s="139"/>
    </x:row>
    <x:row r="9" ht="32" customHeight="1">
      <x:c r="A9" s="157" t="str">
        <x:v>组别</x:v>
      </x:c>
      <x:c r="B9" s="157" t="str">
        <x:v>有效运行</x:v>
      </x:c>
      <x:c r="C9" s="157" t="str">
        <x:v>最终验收通过率</x:v>
      </x:c>
      <x:c r="D9" s="157" t="str">
        <x:v>一次验收通过率</x:v>
      </x:c>
      <x:c r="E9" s="157" t="str">
        <x:v>平均首次交付分钟</x:v>
      </x:c>
      <x:c r="F9" s="157" t="str">
        <x:v>平均总周期分钟</x:v>
      </x:c>
      <x:c r="G9" s="157" t="str">
        <x:v>平均澄清次数</x:v>
      </x:c>
      <x:c r="H9" s="157" t="str">
        <x:v>平均返工次数</x:v>
      </x:c>
      <x:c r="I9" s="157" t="str">
        <x:v>确认误阻断率</x:v>
      </x:c>
      <x:c r="J9" s="139"/>
      <x:c r="K9" s="139"/>
      <x:c r="L9" s="139"/>
      <x:c r="M9" s="139"/>
      <x:c r="N9" s="139"/>
      <x:c r="O9" s="139"/>
      <x:c r="P9" s="139"/>
      <x:c r="Q9" s="139"/>
    </x:row>
    <x:row r="10">
      <x:c r="A10" s="166" t="str">
        <x:v>基线</x:v>
      </x:c>
      <x:c r="B10" s="167" t="n">
        <x:f>COUNTIFS($E$15:$E$26,$A10,$H$15:$H$26,"是")</x:f>
        <x:v>6</x:v>
      </x:c>
      <x:c r="C10" s="168" t="n">
        <x:f>IF(B10=0,"n.a.",COUNTIFS($E$15:$E$26,$A10,$H$15:$H$26,"是",$J$15:$J$26,"是")/B10)</x:f>
        <x:v>1</x:v>
      </x:c>
      <x:c r="D10" s="168" t="n">
        <x:f>IF(B10=0,"n.a.",COUNTIFS($E$15:$E$26,$A10,$H$15:$H$26,"是",$I$15:$I$26,"是")/B10)</x:f>
        <x:v>0.8333333333333334</x:v>
      </x:c>
      <x:c r="E10" s="169" t="n">
        <x:f>IF(B10=0,"n.a.",AVERAGEIFS($K$15:$K$26,$E$15:$E$26,$A10,$H$15:$H$26,"是"))</x:f>
        <x:v>3.189969444444445</x:v>
      </x:c>
      <x:c r="F10" s="169" t="n">
        <x:f>IF(B10=0,"n.a.",AVERAGEIFS($L$15:$L$26,$E$15:$E$26,$A10,$H$15:$H$26,"是"))</x:f>
        <x:v>3.4289722222222223</x:v>
      </x:c>
      <x:c r="G10" s="169" t="n">
        <x:f>IF(B10=0,"n.a.",AVERAGEIFS($M$15:$M$26,$E$15:$E$26,$A10,$H$15:$H$26,"是"))</x:f>
        <x:v>0</x:v>
      </x:c>
      <x:c r="H10" s="169" t="n">
        <x:f>IF(B10=0,"n.a.",AVERAGEIFS($N$15:$N$26,$E$15:$E$26,$A10,$H$15:$H$26,"是"))</x:f>
        <x:v>0.16666666666666666</x:v>
      </x:c>
      <x:c r="I10" s="168" t="str">
        <x:f>IF(SUMIFS($O$15:$O$26,$E$15:$E$26,$A10,$H$15:$H$26,"是")=0,"n.a.",SUMIFS($P$15:$P$26,$E$15:$E$26,$A10,$H$15:$H$26,"是")/SUMIFS($O$15:$O$26,$E$15:$E$26,$A10,$H$15:$H$26,"是"))</x:f>
        <x:v>n.a.</x:v>
      </x:c>
      <x:c r="J10" s="139"/>
      <x:c r="K10" s="139"/>
      <x:c r="L10" s="139"/>
      <x:c r="M10" s="139"/>
      <x:c r="N10" s="139"/>
      <x:c r="O10" s="139"/>
      <x:c r="P10" s="139"/>
      <x:c r="Q10" s="139"/>
    </x:row>
    <x:row r="11">
      <x:c r="A11" s="166" t="str">
        <x:v>插件</x:v>
      </x:c>
      <x:c r="B11" s="167" t="n">
        <x:f>COUNTIFS($E$15:$E$26,$A11,$H$15:$H$26,"是")</x:f>
        <x:v>6</x:v>
      </x:c>
      <x:c r="C11" s="168" t="n">
        <x:f>IF(B11=0,"n.a.",COUNTIFS($E$15:$E$26,$A11,$H$15:$H$26,"是",$J$15:$J$26,"是")/B11)</x:f>
        <x:v>0.8333333333333334</x:v>
      </x:c>
      <x:c r="D11" s="168" t="n">
        <x:f>IF(B11=0,"n.a.",COUNTIFS($E$15:$E$26,$A11,$H$15:$H$26,"是",$I$15:$I$26,"是")/B11)</x:f>
        <x:v>0.8333333333333334</x:v>
      </x:c>
      <x:c r="E11" s="169" t="n">
        <x:f>IF(B11=0,"n.a.",AVERAGEIFS($K$15:$K$26,$E$15:$E$26,$A11,$H$15:$H$26,"是"))</x:f>
        <x:v>3.670444444444444</x:v>
      </x:c>
      <x:c r="F11" s="169" t="n">
        <x:f>IF(B11=0,"n.a.",AVERAGEIFS($L$15:$L$26,$E$15:$E$26,$A11,$H$15:$H$26,"是"))</x:f>
        <x:v>4.335641666666667</x:v>
      </x:c>
      <x:c r="G11" s="169" t="n">
        <x:f>IF(B11=0,"n.a.",AVERAGEIFS($M$15:$M$26,$E$15:$E$26,$A11,$H$15:$H$26,"是"))</x:f>
        <x:v>0</x:v>
      </x:c>
      <x:c r="H11" s="169" t="n">
        <x:f>IF(B11=0,"n.a.",AVERAGEIFS($N$15:$N$26,$E$15:$E$26,$A11,$H$15:$H$26,"是"))</x:f>
        <x:v>0.3333333333333333</x:v>
      </x:c>
      <x:c r="I11" s="168" t="str">
        <x:f>IF(SUMIFS($O$15:$O$26,$E$15:$E$26,$A11,$H$15:$H$26,"是")=0,"n.a.",SUMIFS($P$15:$P$26,$E$15:$E$26,$A11,$H$15:$H$26,"是")/SUMIFS($O$15:$O$26,$E$15:$E$26,$A11,$H$15:$H$26,"是"))</x:f>
        <x:v>n.a.</x:v>
      </x:c>
      <x:c r="J11" s="139"/>
      <x:c r="K11" s="139"/>
      <x:c r="L11" s="139"/>
      <x:c r="M11" s="139"/>
      <x:c r="N11" s="139"/>
      <x:c r="O11" s="139"/>
      <x:c r="P11" s="139"/>
      <x:c r="Q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39"/>
      <x:c r="Q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39"/>
      <x:c r="Q13" s="139"/>
    </x:row>
    <x:row r="14" ht="34" customHeight="1">
      <x:c r="A14" s="157" t="str">
        <x:v>案例编号</x:v>
      </x:c>
      <x:c r="B14" s="157" t="str">
        <x:v>项目编号</x:v>
      </x:c>
      <x:c r="C14" s="157" t="str">
        <x:v>复杂度</x:v>
      </x:c>
      <x:c r="D14" s="157" t="str">
        <x:v>任务类型</x:v>
      </x:c>
      <x:c r="E14" s="157" t="str">
        <x:v>组别</x:v>
      </x:c>
      <x:c r="F14" s="157" t="str">
        <x:v>路线</x:v>
      </x:c>
      <x:c r="G14" s="157" t="str">
        <x:v>执行状态</x:v>
      </x:c>
      <x:c r="H14" s="157" t="str">
        <x:v>有效样本</x:v>
      </x:c>
      <x:c r="I14" s="157" t="str">
        <x:v>一次验收通过</x:v>
      </x:c>
      <x:c r="J14" s="157" t="str">
        <x:v>最终验收通过</x:v>
      </x:c>
      <x:c r="K14" s="157" t="str">
        <x:v>首次交付分钟</x:v>
      </x:c>
      <x:c r="L14" s="157" t="str">
        <x:v>总周期分钟</x:v>
      </x:c>
      <x:c r="M14" s="157" t="str">
        <x:v>澄清次数</x:v>
      </x:c>
      <x:c r="N14" s="157" t="str">
        <x:v>返工次数</x:v>
      </x:c>
      <x:c r="O14" s="157" t="str">
        <x:v>阻断次数</x:v>
      </x:c>
      <x:c r="P14" s="157" t="str">
        <x:v>确认误阻断数</x:v>
      </x:c>
      <x:c r="Q14" s="157" t="str">
        <x:v>无效原因</x:v>
      </x:c>
    </x:row>
    <x:row r="15">
      <x:c r="A15" s="170" t="str">
        <x:v>SYN-P1-L01</x:v>
      </x:c>
      <x:c r="B15" s="170" t="str">
        <x:v>P1</x:v>
      </x:c>
      <x:c r="C15" s="170" t="str">
        <x:v>大型</x:v>
      </x:c>
      <x:c r="D15" s="170" t="str">
        <x:v>功能</x:v>
      </x:c>
      <x:c r="E15" s="170" t="str">
        <x:v>插件</x:v>
      </x:c>
      <x:c r="F15" s="170" t="str">
        <x:v>快速通道</x:v>
      </x:c>
      <x:c r="G15" s="170" t="str">
        <x:v>通过</x:v>
      </x:c>
      <x:c r="H15" s="170" t="str">
        <x:v>是</x:v>
      </x:c>
      <x:c r="I15" s="170" t="str">
        <x:v>是</x:v>
      </x:c>
      <x:c r="J15" s="170" t="str">
        <x:v>是</x:v>
      </x:c>
      <x:c r="K15" s="171" t="n">
        <x:v>5.94865</x:v>
      </x:c>
      <x:c r="L15" s="171" t="n">
        <x:v>5.974266666666667</x:v>
      </x:c>
      <x:c r="M15" s="172" t="n">
        <x:v>0</x:v>
      </x:c>
      <x:c r="N15" s="172" t="n">
        <x:v>0</x:v>
      </x:c>
      <x:c r="O15" s="172" t="n">
        <x:v>0</x:v>
      </x:c>
      <x:c r="P15" s="172" t="n">
        <x:v>0</x:v>
      </x:c>
      <x:c r="Q15" s="173" t="str">
        <x:v>无</x:v>
      </x:c>
    </x:row>
    <x:row r="16">
      <x:c r="A16" s="170" t="str">
        <x:v>SYN-P1-L01</x:v>
      </x:c>
      <x:c r="B16" s="170" t="str">
        <x:v>P1</x:v>
      </x:c>
      <x:c r="C16" s="170" t="str">
        <x:v>大型</x:v>
      </x:c>
      <x:c r="D16" s="170" t="str">
        <x:v>功能</x:v>
      </x:c>
      <x:c r="E16" s="170" t="str">
        <x:v>基线</x:v>
      </x:c>
      <x:c r="F16" s="170" t="str">
        <x:v>未使用插件</x:v>
      </x:c>
      <x:c r="G16" s="170" t="str">
        <x:v>通过</x:v>
      </x:c>
      <x:c r="H16" s="170" t="str">
        <x:v>是</x:v>
      </x:c>
      <x:c r="I16" s="170" t="str">
        <x:v>是</x:v>
      </x:c>
      <x:c r="J16" s="170" t="str">
        <x:v>是</x:v>
      </x:c>
      <x:c r="K16" s="171" t="n">
        <x:v>4.316683333333334</x:v>
      </x:c>
      <x:c r="L16" s="171" t="n">
        <x:v>4.341083333333334</x:v>
      </x:c>
      <x:c r="M16" s="172" t="n">
        <x:v>0</x:v>
      </x:c>
      <x:c r="N16" s="172" t="n">
        <x:v>0</x:v>
      </x:c>
      <x:c r="O16" s="172" t="n">
        <x:v>0</x:v>
      </x:c>
      <x:c r="P16" s="172" t="n">
        <x:v>0</x:v>
      </x:c>
      <x:c r="Q16" s="173" t="str">
        <x:v>无</x:v>
      </x:c>
    </x:row>
    <x:row r="17">
      <x:c r="A17" s="170" t="str">
        <x:v>SYN-P1-S01</x:v>
      </x:c>
      <x:c r="B17" s="170" t="str">
        <x:v>P1</x:v>
      </x:c>
      <x:c r="C17" s="170" t="str">
        <x:v>小型</x:v>
      </x:c>
      <x:c r="D17" s="170" t="str">
        <x:v>缺陷</x:v>
      </x:c>
      <x:c r="E17" s="170" t="str">
        <x:v>基线</x:v>
      </x:c>
      <x:c r="F17" s="170" t="str">
        <x:v>未使用插件</x:v>
      </x:c>
      <x:c r="G17" s="170" t="str">
        <x:v>通过</x:v>
      </x:c>
      <x:c r="H17" s="170" t="str">
        <x:v>是</x:v>
      </x:c>
      <x:c r="I17" s="170" t="str">
        <x:v>是</x:v>
      </x:c>
      <x:c r="J17" s="170" t="str">
        <x:v>是</x:v>
      </x:c>
      <x:c r="K17" s="171" t="n">
        <x:v>1.17945</x:v>
      </x:c>
      <x:c r="L17" s="171" t="n">
        <x:v>1.2039</x:v>
      </x:c>
      <x:c r="M17" s="172" t="n">
        <x:v>0</x:v>
      </x:c>
      <x:c r="N17" s="172" t="n">
        <x:v>0</x:v>
      </x:c>
      <x:c r="O17" s="172" t="n">
        <x:v>0</x:v>
      </x:c>
      <x:c r="P17" s="172" t="n">
        <x:v>0</x:v>
      </x:c>
      <x:c r="Q17" s="173" t="str">
        <x:v>无</x:v>
      </x:c>
    </x:row>
    <x:row r="18">
      <x:c r="A18" s="170" t="str">
        <x:v>SYN-P1-S01</x:v>
      </x:c>
      <x:c r="B18" s="170" t="str">
        <x:v>P1</x:v>
      </x:c>
      <x:c r="C18" s="170" t="str">
        <x:v>小型</x:v>
      </x:c>
      <x:c r="D18" s="170" t="str">
        <x:v>缺陷</x:v>
      </x:c>
      <x:c r="E18" s="170" t="str">
        <x:v>插件</x:v>
      </x:c>
      <x:c r="F18" s="170" t="str">
        <x:v>快速通道</x:v>
      </x:c>
      <x:c r="G18" s="170" t="str">
        <x:v>通过</x:v>
      </x:c>
      <x:c r="H18" s="170" t="str">
        <x:v>是</x:v>
      </x:c>
      <x:c r="I18" s="170" t="str">
        <x:v>是</x:v>
      </x:c>
      <x:c r="J18" s="170" t="str">
        <x:v>是</x:v>
      </x:c>
      <x:c r="K18" s="171" t="n">
        <x:v>1.4623833333333334</x:v>
      </x:c>
      <x:c r="L18" s="171" t="n">
        <x:v>1.4866</x:v>
      </x:c>
      <x:c r="M18" s="172" t="n">
        <x:v>0</x:v>
      </x:c>
      <x:c r="N18" s="172" t="n">
        <x:v>0</x:v>
      </x:c>
      <x:c r="O18" s="172" t="n">
        <x:v>0</x:v>
      </x:c>
      <x:c r="P18" s="172" t="n">
        <x:v>0</x:v>
      </x:c>
      <x:c r="Q18" s="173" t="str">
        <x:v>无</x:v>
      </x:c>
    </x:row>
    <x:row r="19">
      <x:c r="A19" s="170" t="str">
        <x:v>SYN-P2-L01</x:v>
      </x:c>
      <x:c r="B19" s="170" t="str">
        <x:v>P2</x:v>
      </x:c>
      <x:c r="C19" s="170" t="str">
        <x:v>大型</x:v>
      </x:c>
      <x:c r="D19" s="170" t="str">
        <x:v>功能</x:v>
      </x:c>
      <x:c r="E19" s="170" t="str">
        <x:v>插件</x:v>
      </x:c>
      <x:c r="F19" s="170" t="str">
        <x:v>快速通道</x:v>
      </x:c>
      <x:c r="G19" s="170" t="str">
        <x:v>未通过</x:v>
      </x:c>
      <x:c r="H19" s="170" t="str">
        <x:v>是</x:v>
      </x:c>
      <x:c r="I19" s="170" t="str">
        <x:v>否</x:v>
      </x:c>
      <x:c r="J19" s="170" t="str">
        <x:v>否</x:v>
      </x:c>
      <x:c r="K19" s="171" t="n">
        <x:v>5.2195833333333335</x:v>
      </x:c>
      <x:c r="L19" s="171" t="n">
        <x:v>9.11705</x:v>
      </x:c>
      <x:c r="M19" s="172" t="n">
        <x:v>0</x:v>
      </x:c>
      <x:c r="N19" s="172" t="n">
        <x:v>2</x:v>
      </x:c>
      <x:c r="O19" s="172" t="n">
        <x:v>0</x:v>
      </x:c>
      <x:c r="P19" s="172" t="n">
        <x:v>0</x:v>
      </x:c>
      <x:c r="Q19" s="173" t="str">
        <x:v>无</x:v>
      </x:c>
    </x:row>
    <x:row r="20">
      <x:c r="A20" s="170" t="str">
        <x:v>SYN-P2-L01</x:v>
      </x:c>
      <x:c r="B20" s="170" t="str">
        <x:v>P2</x:v>
      </x:c>
      <x:c r="C20" s="170" t="str">
        <x:v>大型</x:v>
      </x:c>
      <x:c r="D20" s="170" t="str">
        <x:v>功能</x:v>
      </x:c>
      <x:c r="E20" s="170" t="str">
        <x:v>基线</x:v>
      </x:c>
      <x:c r="F20" s="170" t="str">
        <x:v>未使用插件</x:v>
      </x:c>
      <x:c r="G20" s="170" t="str">
        <x:v>通过</x:v>
      </x:c>
      <x:c r="H20" s="170" t="str">
        <x:v>是</x:v>
      </x:c>
      <x:c r="I20" s="170" t="str">
        <x:v>是</x:v>
      </x:c>
      <x:c r="J20" s="170" t="str">
        <x:v>是</x:v>
      </x:c>
      <x:c r="K20" s="171" t="n">
        <x:v>3.852866666666667</x:v>
      </x:c>
      <x:c r="L20" s="171" t="n">
        <x:v>3.8669</x:v>
      </x:c>
      <x:c r="M20" s="172" t="n">
        <x:v>0</x:v>
      </x:c>
      <x:c r="N20" s="172" t="n">
        <x:v>0</x:v>
      </x:c>
      <x:c r="O20" s="172" t="n">
        <x:v>0</x:v>
      </x:c>
      <x:c r="P20" s="172" t="n">
        <x:v>0</x:v>
      </x:c>
      <x:c r="Q20" s="173" t="str">
        <x:v>无</x:v>
      </x:c>
    </x:row>
    <x:row r="21">
      <x:c r="A21" s="170" t="str">
        <x:v>SYN-P2-M01</x:v>
      </x:c>
      <x:c r="B21" s="170" t="str">
        <x:v>P2</x:v>
      </x:c>
      <x:c r="C21" s="170" t="str">
        <x:v>中型</x:v>
      </x:c>
      <x:c r="D21" s="170" t="str">
        <x:v>功能</x:v>
      </x:c>
      <x:c r="E21" s="170" t="str">
        <x:v>基线</x:v>
      </x:c>
      <x:c r="F21" s="170" t="str">
        <x:v>未使用插件</x:v>
      </x:c>
      <x:c r="G21" s="170" t="str">
        <x:v>通过</x:v>
      </x:c>
      <x:c r="H21" s="170" t="str">
        <x:v>是</x:v>
      </x:c>
      <x:c r="I21" s="170" t="str">
        <x:v>是</x:v>
      </x:c>
      <x:c r="J21" s="170" t="str">
        <x:v>是</x:v>
      </x:c>
      <x:c r="K21" s="171" t="n">
        <x:v>4.36065</x:v>
      </x:c>
      <x:c r="L21" s="171" t="n">
        <x:v>4.375133333333333</x:v>
      </x:c>
      <x:c r="M21" s="172" t="n">
        <x:v>0</x:v>
      </x:c>
      <x:c r="N21" s="172" t="n">
        <x:v>0</x:v>
      </x:c>
      <x:c r="O21" s="172" t="n">
        <x:v>0</x:v>
      </x:c>
      <x:c r="P21" s="172" t="n">
        <x:v>0</x:v>
      </x:c>
      <x:c r="Q21" s="173" t="str">
        <x:v>无</x:v>
      </x:c>
    </x:row>
    <x:row r="22">
      <x:c r="A22" s="170" t="str">
        <x:v>SYN-P2-M01</x:v>
      </x:c>
      <x:c r="B22" s="170" t="str">
        <x:v>P2</x:v>
      </x:c>
      <x:c r="C22" s="170" t="str">
        <x:v>中型</x:v>
      </x:c>
      <x:c r="D22" s="170" t="str">
        <x:v>功能</x:v>
      </x:c>
      <x:c r="E22" s="170" t="str">
        <x:v>插件</x:v>
      </x:c>
      <x:c r="F22" s="170" t="str">
        <x:v>快速通道</x:v>
      </x:c>
      <x:c r="G22" s="170" t="str">
        <x:v>通过</x:v>
      </x:c>
      <x:c r="H22" s="170" t="str">
        <x:v>是</x:v>
      </x:c>
      <x:c r="I22" s="170" t="str">
        <x:v>是</x:v>
      </x:c>
      <x:c r="J22" s="170" t="str">
        <x:v>是</x:v>
      </x:c>
      <x:c r="K22" s="171" t="n">
        <x:v>4.024616666666667</x:v>
      </x:c>
      <x:c r="L22" s="171" t="n">
        <x:v>4.039133333333333</x:v>
      </x:c>
      <x:c r="M22" s="172" t="n">
        <x:v>0</x:v>
      </x:c>
      <x:c r="N22" s="172" t="n">
        <x:v>0</x:v>
      </x:c>
      <x:c r="O22" s="172" t="n">
        <x:v>0</x:v>
      </x:c>
      <x:c r="P22" s="172" t="n">
        <x:v>0</x:v>
      </x:c>
      <x:c r="Q22" s="173" t="str">
        <x:v>无</x:v>
      </x:c>
    </x:row>
    <x:row r="23">
      <x:c r="A23" s="170" t="str">
        <x:v>SYN-P3-M01</x:v>
      </x:c>
      <x:c r="B23" s="170" t="str">
        <x:v>P3</x:v>
      </x:c>
      <x:c r="C23" s="170" t="str">
        <x:v>中型</x:v>
      </x:c>
      <x:c r="D23" s="170" t="str">
        <x:v>功能</x:v>
      </x:c>
      <x:c r="E23" s="170" t="str">
        <x:v>插件</x:v>
      </x:c>
      <x:c r="F23" s="170" t="str">
        <x:v>快速通道</x:v>
      </x:c>
      <x:c r="G23" s="170" t="str">
        <x:v>通过</x:v>
      </x:c>
      <x:c r="H23" s="170" t="str">
        <x:v>是</x:v>
      </x:c>
      <x:c r="I23" s="170" t="str">
        <x:v>是</x:v>
      </x:c>
      <x:c r="J23" s="170" t="str">
        <x:v>是</x:v>
      </x:c>
      <x:c r="K23" s="171" t="n">
        <x:v>3.1238</x:v>
      </x:c>
      <x:c r="L23" s="171" t="n">
        <x:v>3.13885</x:v>
      </x:c>
      <x:c r="M23" s="172" t="n">
        <x:v>0</x:v>
      </x:c>
      <x:c r="N23" s="172" t="n">
        <x:v>0</x:v>
      </x:c>
      <x:c r="O23" s="172" t="n">
        <x:v>0</x:v>
      </x:c>
      <x:c r="P23" s="172" t="n">
        <x:v>0</x:v>
      </x:c>
      <x:c r="Q23" s="173" t="str">
        <x:v>无</x:v>
      </x:c>
    </x:row>
    <x:row r="24">
      <x:c r="A24" s="170" t="str">
        <x:v>SYN-P3-M01</x:v>
      </x:c>
      <x:c r="B24" s="170" t="str">
        <x:v>P3</x:v>
      </x:c>
      <x:c r="C24" s="170" t="str">
        <x:v>中型</x:v>
      </x:c>
      <x:c r="D24" s="170" t="str">
        <x:v>功能</x:v>
      </x:c>
      <x:c r="E24" s="170" t="str">
        <x:v>基线</x:v>
      </x:c>
      <x:c r="F24" s="170" t="str">
        <x:v>未使用插件</x:v>
      </x:c>
      <x:c r="G24" s="170" t="str">
        <x:v>通过</x:v>
      </x:c>
      <x:c r="H24" s="170" t="str">
        <x:v>是</x:v>
      </x:c>
      <x:c r="I24" s="170" t="str">
        <x:v>否</x:v>
      </x:c>
      <x:c r="J24" s="170" t="str">
        <x:v>是</x:v>
      </x:c>
      <x:c r="K24" s="171" t="n">
        <x:v>3.2702333333333335</x:v>
      </x:c>
      <x:c r="L24" s="171" t="n">
        <x:v>4.61245</x:v>
      </x:c>
      <x:c r="M24" s="172" t="n">
        <x:v>0</x:v>
      </x:c>
      <x:c r="N24" s="172" t="n">
        <x:v>1</x:v>
      </x:c>
      <x:c r="O24" s="172" t="n">
        <x:v>0</x:v>
      </x:c>
      <x:c r="P24" s="172" t="n">
        <x:v>0</x:v>
      </x:c>
      <x:c r="Q24" s="173" t="str">
        <x:v>无</x:v>
      </x:c>
    </x:row>
    <x:row r="25">
      <x:c r="A25" s="170" t="str">
        <x:v>SYN-P3-S01</x:v>
      </x:c>
      <x:c r="B25" s="170" t="str">
        <x:v>P3</x:v>
      </x:c>
      <x:c r="C25" s="170" t="str">
        <x:v>小型</x:v>
      </x:c>
      <x:c r="D25" s="170" t="str">
        <x:v>缺陷</x:v>
      </x:c>
      <x:c r="E25" s="170" t="str">
        <x:v>基线</x:v>
      </x:c>
      <x:c r="F25" s="170" t="str">
        <x:v>未使用插件</x:v>
      </x:c>
      <x:c r="G25" s="170" t="str">
        <x:v>通过</x:v>
      </x:c>
      <x:c r="H25" s="170" t="str">
        <x:v>是</x:v>
      </x:c>
      <x:c r="I25" s="170" t="str">
        <x:v>是</x:v>
      </x:c>
      <x:c r="J25" s="170" t="str">
        <x:v>是</x:v>
      </x:c>
      <x:c r="K25" s="171" t="n">
        <x:v>2.1599333333333335</x:v>
      </x:c>
      <x:c r="L25" s="171" t="n">
        <x:v>2.174366666666667</x:v>
      </x:c>
      <x:c r="M25" s="172" t="n">
        <x:v>0</x:v>
      </x:c>
      <x:c r="N25" s="172" t="n">
        <x:v>0</x:v>
      </x:c>
      <x:c r="O25" s="172" t="n">
        <x:v>0</x:v>
      </x:c>
      <x:c r="P25" s="172" t="n">
        <x:v>0</x:v>
      </x:c>
      <x:c r="Q25" s="173" t="str">
        <x:v>无</x:v>
      </x:c>
    </x:row>
    <x:row r="26">
      <x:c r="A26" s="170" t="str">
        <x:v>SYN-P3-S01</x:v>
      </x:c>
      <x:c r="B26" s="170" t="str">
        <x:v>P3</x:v>
      </x:c>
      <x:c r="C26" s="170" t="str">
        <x:v>小型</x:v>
      </x:c>
      <x:c r="D26" s="170" t="str">
        <x:v>缺陷</x:v>
      </x:c>
      <x:c r="E26" s="170" t="str">
        <x:v>插件</x:v>
      </x:c>
      <x:c r="F26" s="170" t="str">
        <x:v>快速通道</x:v>
      </x:c>
      <x:c r="G26" s="170" t="str">
        <x:v>通过</x:v>
      </x:c>
      <x:c r="H26" s="170" t="str">
        <x:v>是</x:v>
      </x:c>
      <x:c r="I26" s="170" t="str">
        <x:v>是</x:v>
      </x:c>
      <x:c r="J26" s="170" t="str">
        <x:v>是</x:v>
      </x:c>
      <x:c r="K26" s="171" t="n">
        <x:v>2.2436333333333334</x:v>
      </x:c>
      <x:c r="L26" s="171" t="n">
        <x:v>2.25795</x:v>
      </x:c>
      <x:c r="M26" s="172" t="n">
        <x:v>0</x:v>
      </x:c>
      <x:c r="N26" s="172" t="n">
        <x:v>0</x:v>
      </x:c>
      <x:c r="O26" s="172" t="n">
        <x:v>0</x:v>
      </x:c>
      <x:c r="P26" s="172" t="n">
        <x:v>0</x:v>
      </x:c>
      <x:c r="Q26" s="173" t="str">
        <x:v>无</x:v>
      </x:c>
    </x:row>
    <x:row r="27">
      <x:c r="A27" s="160" t="str">
        <x:v>无效运行：0。所有未知值保持为空，不使用默认 0 补齐。</x:v>
      </x:c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  <x:c r="N27" s="160"/>
      <x:c r="O27" s="160"/>
      <x:c r="P27" s="160"/>
      <x:c r="Q27" s="160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39"/>
      <x:c r="Q28" s="139"/>
    </x:row>
    <x:row r="29" ht="34" customHeight="1">
      <x:c r="A29" s="157" t="str">
        <x:v>案例编号</x:v>
      </x:c>
      <x:c r="B29" s="157" t="str">
        <x:v>项目编号</x:v>
      </x:c>
      <x:c r="C29" s="157" t="str">
        <x:v>复杂度</x:v>
      </x:c>
      <x:c r="D29" s="157" t="str">
        <x:v>任务类型</x:v>
      </x:c>
      <x:c r="E29" s="157" t="str">
        <x:v>插件最终通过</x:v>
      </x:c>
      <x:c r="F29" s="157" t="str">
        <x:v>基线最终通过</x:v>
      </x:c>
      <x:c r="G29" s="157" t="str">
        <x:v>插件总周期分钟</x:v>
      </x:c>
      <x:c r="H29" s="157" t="str">
        <x:v>基线总周期分钟</x:v>
      </x:c>
      <x:c r="I29" s="157" t="str">
        <x:v>周期差（插件-基线）</x:v>
      </x:c>
      <x:c r="J29" s="157" t="str">
        <x:v>插件返工</x:v>
      </x:c>
      <x:c r="K29" s="157" t="str">
        <x:v>基线返工</x:v>
      </x:c>
      <x:c r="L29" s="157" t="str">
        <x:v>返工差（插件-基线）</x:v>
      </x:c>
      <x:c r="M29" s="157" t="str">
        <x:v>配对描述</x:v>
      </x:c>
      <x:c r="N29" s="139"/>
      <x:c r="O29" s="139"/>
      <x:c r="P29" s="139"/>
      <x:c r="Q29" s="139"/>
    </x:row>
    <x:row r="30">
      <x:c r="A30" s="170" t="str">
        <x:v>SYN-P1-L01</x:v>
      </x:c>
      <x:c r="B30" s="170" t="str">
        <x:v>P1</x:v>
      </x:c>
      <x:c r="C30" s="170" t="str">
        <x:v>大型</x:v>
      </x:c>
      <x:c r="D30" s="170" t="str">
        <x:v>功能</x:v>
      </x:c>
      <x:c r="E30" s="170" t="str">
        <x:v>是</x:v>
      </x:c>
      <x:c r="F30" s="170" t="str">
        <x:v>是</x:v>
      </x:c>
      <x:c r="G30" s="171" t="n">
        <x:v>5.974266666666667</x:v>
      </x:c>
      <x:c r="H30" s="171" t="n">
        <x:v>4.341083333333334</x:v>
      </x:c>
      <x:c r="I30" s="171" t="n">
        <x:v>1.6331833333333334</x:v>
      </x:c>
      <x:c r="J30" s="172" t="n">
        <x:v>0</x:v>
      </x:c>
      <x:c r="K30" s="172" t="n">
        <x:v>0</x:v>
      </x:c>
      <x:c r="L30" s="172" t="n">
        <x:v>0</x:v>
      </x:c>
      <x:c r="M30" s="173" t="str">
        <x:v>插件周期更长</x:v>
      </x:c>
      <x:c r="N30" s="139"/>
      <x:c r="O30" s="139"/>
      <x:c r="P30" s="139"/>
      <x:c r="Q30" s="139"/>
    </x:row>
    <x:row r="31">
      <x:c r="A31" s="170" t="str">
        <x:v>SYN-P1-S01</x:v>
      </x:c>
      <x:c r="B31" s="170" t="str">
        <x:v>P1</x:v>
      </x:c>
      <x:c r="C31" s="170" t="str">
        <x:v>小型</x:v>
      </x:c>
      <x:c r="D31" s="170" t="str">
        <x:v>缺陷</x:v>
      </x:c>
      <x:c r="E31" s="170" t="str">
        <x:v>是</x:v>
      </x:c>
      <x:c r="F31" s="170" t="str">
        <x:v>是</x:v>
      </x:c>
      <x:c r="G31" s="171" t="n">
        <x:v>1.4866</x:v>
      </x:c>
      <x:c r="H31" s="171" t="n">
        <x:v>1.2039</x:v>
      </x:c>
      <x:c r="I31" s="171" t="n">
        <x:v>0.2827</x:v>
      </x:c>
      <x:c r="J31" s="172" t="n">
        <x:v>0</x:v>
      </x:c>
      <x:c r="K31" s="172" t="n">
        <x:v>0</x:v>
      </x:c>
      <x:c r="L31" s="172" t="n">
        <x:v>0</x:v>
      </x:c>
      <x:c r="M31" s="173" t="str">
        <x:v>插件周期更长</x:v>
      </x:c>
      <x:c r="N31" s="139"/>
      <x:c r="O31" s="139"/>
      <x:c r="P31" s="139"/>
      <x:c r="Q31" s="139"/>
    </x:row>
    <x:row r="32">
      <x:c r="A32" s="170" t="str">
        <x:v>SYN-P2-L01</x:v>
      </x:c>
      <x:c r="B32" s="170" t="str">
        <x:v>P2</x:v>
      </x:c>
      <x:c r="C32" s="170" t="str">
        <x:v>大型</x:v>
      </x:c>
      <x:c r="D32" s="170" t="str">
        <x:v>功能</x:v>
      </x:c>
      <x:c r="E32" s="170" t="str">
        <x:v>否</x:v>
      </x:c>
      <x:c r="F32" s="170" t="str">
        <x:v>是</x:v>
      </x:c>
      <x:c r="G32" s="171" t="n">
        <x:v>9.11705</x:v>
      </x:c>
      <x:c r="H32" s="171" t="n">
        <x:v>3.8669</x:v>
      </x:c>
      <x:c r="I32" s="171" t="n">
        <x:v>5.25015</x:v>
      </x:c>
      <x:c r="J32" s="172" t="n">
        <x:v>2</x:v>
      </x:c>
      <x:c r="K32" s="172" t="n">
        <x:v>0</x:v>
      </x:c>
      <x:c r="L32" s="172" t="n">
        <x:v>2</x:v>
      </x:c>
      <x:c r="M32" s="173" t="str">
        <x:v>插件未通过，基线通过</x:v>
      </x:c>
      <x:c r="N32" s="139"/>
      <x:c r="O32" s="139"/>
      <x:c r="P32" s="139"/>
      <x:c r="Q32" s="139"/>
    </x:row>
    <x:row r="33">
      <x:c r="A33" s="170" t="str">
        <x:v>SYN-P2-M01</x:v>
      </x:c>
      <x:c r="B33" s="170" t="str">
        <x:v>P2</x:v>
      </x:c>
      <x:c r="C33" s="170" t="str">
        <x:v>中型</x:v>
      </x:c>
      <x:c r="D33" s="170" t="str">
        <x:v>功能</x:v>
      </x:c>
      <x:c r="E33" s="170" t="str">
        <x:v>是</x:v>
      </x:c>
      <x:c r="F33" s="170" t="str">
        <x:v>是</x:v>
      </x:c>
      <x:c r="G33" s="171" t="n">
        <x:v>4.039133333333333</x:v>
      </x:c>
      <x:c r="H33" s="171" t="n">
        <x:v>4.375133333333333</x:v>
      </x:c>
      <x:c r="I33" s="171" t="n">
        <x:v>-0.336</x:v>
      </x:c>
      <x:c r="J33" s="172" t="n">
        <x:v>0</x:v>
      </x:c>
      <x:c r="K33" s="172" t="n">
        <x:v>0</x:v>
      </x:c>
      <x:c r="L33" s="172" t="n">
        <x:v>0</x:v>
      </x:c>
      <x:c r="M33" s="173" t="str">
        <x:v>插件周期更短</x:v>
      </x:c>
      <x:c r="N33" s="139"/>
      <x:c r="O33" s="139"/>
      <x:c r="P33" s="139"/>
      <x:c r="Q33" s="139"/>
    </x:row>
    <x:row r="34">
      <x:c r="A34" s="170" t="str">
        <x:v>SYN-P3-M01</x:v>
      </x:c>
      <x:c r="B34" s="170" t="str">
        <x:v>P3</x:v>
      </x:c>
      <x:c r="C34" s="170" t="str">
        <x:v>中型</x:v>
      </x:c>
      <x:c r="D34" s="170" t="str">
        <x:v>功能</x:v>
      </x:c>
      <x:c r="E34" s="170" t="str">
        <x:v>是</x:v>
      </x:c>
      <x:c r="F34" s="170" t="str">
        <x:v>是</x:v>
      </x:c>
      <x:c r="G34" s="171" t="n">
        <x:v>3.13885</x:v>
      </x:c>
      <x:c r="H34" s="171" t="n">
        <x:v>4.61245</x:v>
      </x:c>
      <x:c r="I34" s="171" t="n">
        <x:v>-1.4736</x:v>
      </x:c>
      <x:c r="J34" s="172" t="n">
        <x:v>0</x:v>
      </x:c>
      <x:c r="K34" s="172" t="n">
        <x:v>1</x:v>
      </x:c>
      <x:c r="L34" s="172" t="n">
        <x:v>-1</x:v>
      </x:c>
      <x:c r="M34" s="173" t="str">
        <x:v>插件周期更短</x:v>
      </x:c>
      <x:c r="N34" s="139"/>
      <x:c r="O34" s="139"/>
      <x:c r="P34" s="139"/>
      <x:c r="Q34" s="139"/>
    </x:row>
    <x:row r="35">
      <x:c r="A35" s="170" t="str">
        <x:v>SYN-P3-S01</x:v>
      </x:c>
      <x:c r="B35" s="170" t="str">
        <x:v>P3</x:v>
      </x:c>
      <x:c r="C35" s="170" t="str">
        <x:v>小型</x:v>
      </x:c>
      <x:c r="D35" s="170" t="str">
        <x:v>缺陷</x:v>
      </x:c>
      <x:c r="E35" s="170" t="str">
        <x:v>是</x:v>
      </x:c>
      <x:c r="F35" s="170" t="str">
        <x:v>是</x:v>
      </x:c>
      <x:c r="G35" s="171" t="n">
        <x:v>2.25795</x:v>
      </x:c>
      <x:c r="H35" s="171" t="n">
        <x:v>2.174366666666667</x:v>
      </x:c>
      <x:c r="I35" s="171" t="n">
        <x:v>0.08358333333333333</x:v>
      </x:c>
      <x:c r="J35" s="172" t="n">
        <x:v>0</x:v>
      </x:c>
      <x:c r="K35" s="172" t="n">
        <x:v>0</x:v>
      </x:c>
      <x:c r="L35" s="172" t="n">
        <x:v>0</x:v>
      </x:c>
      <x:c r="M35" s="173" t="str">
        <x:v>插件周期更长</x:v>
      </x:c>
      <x:c r="N35" s="139"/>
      <x:c r="O35" s="139"/>
      <x:c r="P35" s="139"/>
      <x:c r="Q35" s="139"/>
    </x:row>
  </x:sheetData>
  <x:mergeCells>
    <x:mergeCell ref="A1:Q1"/>
    <x:mergeCell ref="A2:Q2"/>
    <x:mergeCell ref="A6:Q7"/>
    <x:mergeCell ref="A27:Q27"/>
  </x:mergeCells>
  <x:pageMargins left="0.7" right="0.7" top="0.75" bottom="0.75" header="0.3" footer="0.3"/>
  <x:tableParts count="2">
    <x:tablePart xmlns:r="http://schemas.openxmlformats.org/officeDocument/2006/relationships" r:id="Rba4b50c7f3994733"/>
    <x:tablePart xmlns:r="http://schemas.openxmlformats.org/officeDocument/2006/relationships" r:id="Rb7ca439f0f614ae1"/>
  </x:tableParts>
</x:worksheet>
</file>